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Ventas (cabecera)" sheetId="2" state="visible" r:id="rId4"/>
    <sheet name="Líneas de venta" sheetId="3" state="visible" r:id="rId5"/>
    <sheet name="Esperado por producto" sheetId="4" state="visible" r:id="rId6"/>
    <sheet name="Esperado por mes" sheetId="5" state="visible" r:id="rId7"/>
    <sheet name="Validación" sheetId="6" state="visible" r:id="rId8"/>
  </sheets>
  <definedNames>
    <definedName function="false" hidden="true" localSheetId="4" name="_xlnm._FilterDatabase" vbProcedure="false">'Esperado por mes'!$A$1:$J$13</definedName>
    <definedName function="false" hidden="true" localSheetId="3" name="_xlnm._FilterDatabase" vbProcedure="false">'Esperado por producto'!$A$1:$K$33</definedName>
    <definedName function="false" hidden="true" localSheetId="2" name="_xlnm._FilterDatabase" vbProcedure="false">'Líneas de venta'!$A$1:$X$536</definedName>
    <definedName function="false" hidden="true" localSheetId="0" name="_xlnm._FilterDatabase" vbProcedure="false">Productos!$A$1:$K$33</definedName>
    <definedName function="false" hidden="true" localSheetId="5" name="_xlnm._FilterDatabase" vbProcedure="false">Validación!$A$1:$C$15</definedName>
    <definedName function="false" hidden="true" localSheetId="1" name="_xlnm._FilterDatabase" vbProcedure="false">'Ventas (cabecera)'!$A$1:$Z$311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<sst xmlns="http://schemas.openxmlformats.org/spreadsheetml/2006/main" count="9079" uniqueCount="566">
  <si>
    <t xml:space="preserve">SKU</t>
  </si>
  <si>
    <t xml:space="preserve">Nombre</t>
  </si>
  <si>
    <t xml:space="preserve">Marca</t>
  </si>
  <si>
    <t xml:space="preserve">Categoría</t>
  </si>
  <si>
    <t xml:space="preserve">PVP (IVA inc.) €</t>
  </si>
  <si>
    <t xml:space="preserve">IVA %</t>
  </si>
  <si>
    <t xml:space="preserve">Base sin IVA €</t>
  </si>
  <si>
    <t xml:space="preserve">Coste €</t>
  </si>
  <si>
    <t xml:space="preserve">Margen unit. €</t>
  </si>
  <si>
    <t xml:space="preserve">Margen %</t>
  </si>
  <si>
    <t xml:space="preserve">Estado</t>
  </si>
  <si>
    <t xml:space="preserve">SKU-0001</t>
  </si>
  <si>
    <t xml:space="preserve">Auriculares Bluetooth ANC X200</t>
  </si>
  <si>
    <t xml:space="preserve">SoundMax</t>
  </si>
  <si>
    <t xml:space="preserve">Audio</t>
  </si>
  <si>
    <t xml:space="preserve">Activo</t>
  </si>
  <si>
    <t xml:space="preserve">SKU-0002</t>
  </si>
  <si>
    <t xml:space="preserve">Altavoz portátil WaveGo</t>
  </si>
  <si>
    <t xml:space="preserve">SKU-0003</t>
  </si>
  <si>
    <t xml:space="preserve">Barra de sonido Cinema 300</t>
  </si>
  <si>
    <t xml:space="preserve">SKU-0005</t>
  </si>
  <si>
    <t xml:space="preserve">Portátil UltraBook 14" i5</t>
  </si>
  <si>
    <t xml:space="preserve">NovaTech</t>
  </si>
  <si>
    <t xml:space="preserve">Informática</t>
  </si>
  <si>
    <t xml:space="preserve">SKU-0006</t>
  </si>
  <si>
    <t xml:space="preserve">Ratón inalámbrico ErgoM</t>
  </si>
  <si>
    <t xml:space="preserve">SKU-0007</t>
  </si>
  <si>
    <t xml:space="preserve">Teclado mecánico RGB K87</t>
  </si>
  <si>
    <t xml:space="preserve">SKU-0008</t>
  </si>
  <si>
    <t xml:space="preserve">Monitor 27" QHD 165Hz</t>
  </si>
  <si>
    <t xml:space="preserve">ViewOne</t>
  </si>
  <si>
    <t xml:space="preserve">SKU-0009</t>
  </si>
  <si>
    <t xml:space="preserve">SSD NVMe 1TB</t>
  </si>
  <si>
    <t xml:space="preserve">DataFast</t>
  </si>
  <si>
    <t xml:space="preserve">SKU-0010</t>
  </si>
  <si>
    <t xml:space="preserve">Webcam Full HD Pro</t>
  </si>
  <si>
    <t xml:space="preserve">SKU-0011</t>
  </si>
  <si>
    <t xml:space="preserve">Smartphone Aurora 5G 128GB</t>
  </si>
  <si>
    <t xml:space="preserve">Aurora</t>
  </si>
  <si>
    <t xml:space="preserve">Telefonía</t>
  </si>
  <si>
    <t xml:space="preserve">SKU-0012</t>
  </si>
  <si>
    <t xml:space="preserve">Funda silicona Aurora</t>
  </si>
  <si>
    <t xml:space="preserve">SKU-0013</t>
  </si>
  <si>
    <t xml:space="preserve">Cargador USB-C 65W</t>
  </si>
  <si>
    <t xml:space="preserve">PowerUp</t>
  </si>
  <si>
    <t xml:space="preserve">SKU-0014</t>
  </si>
  <si>
    <t xml:space="preserve">Smartwatch FitBand 3</t>
  </si>
  <si>
    <t xml:space="preserve">SKU-0015</t>
  </si>
  <si>
    <t xml:space="preserve">Batería externa 20000mAh</t>
  </si>
  <si>
    <t xml:space="preserve">SKU-0016</t>
  </si>
  <si>
    <t xml:space="preserve">Sartén antiadherente 28cm</t>
  </si>
  <si>
    <t xml:space="preserve">CasaChef</t>
  </si>
  <si>
    <t xml:space="preserve">Cocina</t>
  </si>
  <si>
    <t xml:space="preserve">SKU-0017</t>
  </si>
  <si>
    <t xml:space="preserve">Batidora de vaso 1200W</t>
  </si>
  <si>
    <t xml:space="preserve">SKU-0019</t>
  </si>
  <si>
    <t xml:space="preserve">Cafetera espresso 15 bar</t>
  </si>
  <si>
    <t xml:space="preserve">SKU-0020</t>
  </si>
  <si>
    <t xml:space="preserve">Lámpara de mesa LED regulable</t>
  </si>
  <si>
    <t xml:space="preserve">NordLux</t>
  </si>
  <si>
    <t xml:space="preserve">Iluminación</t>
  </si>
  <si>
    <t xml:space="preserve">SKU-0021</t>
  </si>
  <si>
    <t xml:space="preserve">Tira LED RGB 5m</t>
  </si>
  <si>
    <t xml:space="preserve">SKU-0024</t>
  </si>
  <si>
    <t xml:space="preserve">Silla de escritorio ergonómica</t>
  </si>
  <si>
    <t xml:space="preserve">HomeWood</t>
  </si>
  <si>
    <t xml:space="preserve">Mobiliario</t>
  </si>
  <si>
    <t xml:space="preserve">SKU-0025</t>
  </si>
  <si>
    <t xml:space="preserve">Mesa plegable 120cm</t>
  </si>
  <si>
    <t xml:space="preserve">SKU-0026</t>
  </si>
  <si>
    <t xml:space="preserve">Esterilla yoga TPE 6mm</t>
  </si>
  <si>
    <t xml:space="preserve">FlexFit</t>
  </si>
  <si>
    <t xml:space="preserve">Fitness</t>
  </si>
  <si>
    <t xml:space="preserve">SKU-0027</t>
  </si>
  <si>
    <t xml:space="preserve">Set mancuernas 20kg</t>
  </si>
  <si>
    <t xml:space="preserve">SKU-0029</t>
  </si>
  <si>
    <t xml:space="preserve">Cinta correr plegable</t>
  </si>
  <si>
    <t xml:space="preserve">SKU-0030</t>
  </si>
  <si>
    <t xml:space="preserve">Casco ciclismo aero M</t>
  </si>
  <si>
    <t xml:space="preserve">VeloPro</t>
  </si>
  <si>
    <t xml:space="preserve">Ciclismo</t>
  </si>
  <si>
    <t xml:space="preserve">SKU-0031</t>
  </si>
  <si>
    <t xml:space="preserve">Luz LED bici recargable</t>
  </si>
  <si>
    <t xml:space="preserve">SKU-0033</t>
  </si>
  <si>
    <t xml:space="preserve">Agua mineral 1,5L (pack 6)</t>
  </si>
  <si>
    <t xml:space="preserve">FuenteClara</t>
  </si>
  <si>
    <t xml:space="preserve">Bebidas</t>
  </si>
  <si>
    <t xml:space="preserve">SKU-0034</t>
  </si>
  <si>
    <t xml:space="preserve">Zumo naranja 1L</t>
  </si>
  <si>
    <t xml:space="preserve">SKU-0035</t>
  </si>
  <si>
    <t xml:space="preserve">Café molido 250g</t>
  </si>
  <si>
    <t xml:space="preserve">AromaSur</t>
  </si>
  <si>
    <t xml:space="preserve">SKU-0036</t>
  </si>
  <si>
    <t xml:space="preserve">Barritas cereales pack 12</t>
  </si>
  <si>
    <t xml:space="preserve">NutriSnack</t>
  </si>
  <si>
    <t xml:space="preserve">Snacks</t>
  </si>
  <si>
    <t xml:space="preserve">SKU-0037</t>
  </si>
  <si>
    <t xml:space="preserve">Frutos secos mix 500g</t>
  </si>
  <si>
    <t xml:space="preserve">SKU-0038</t>
  </si>
  <si>
    <t xml:space="preserve">Chocolate negro 85% 100g</t>
  </si>
  <si>
    <t xml:space="preserve">Nº pedido</t>
  </si>
  <si>
    <t xml:space="preserve">Fecha</t>
  </si>
  <si>
    <t xml:space="preserve">Canal</t>
  </si>
  <si>
    <t xml:space="preserve">Cód. cliente</t>
  </si>
  <si>
    <t xml:space="preserve">Cliente</t>
  </si>
  <si>
    <t xml:space="preserve">Email</t>
  </si>
  <si>
    <t xml:space="preserve">Ciudad</t>
  </si>
  <si>
    <t xml:space="preserve">País</t>
  </si>
  <si>
    <t xml:space="preserve">Estado pago</t>
  </si>
  <si>
    <t xml:space="preserve">Estado envío</t>
  </si>
  <si>
    <t xml:space="preserve">Cupón</t>
  </si>
  <si>
    <t xml:space="preserve">Dto. cupón (€)</t>
  </si>
  <si>
    <t xml:space="preserve">Dto. líneas (€)</t>
  </si>
  <si>
    <t xml:space="preserve">Subtotal c/IVA (€)</t>
  </si>
  <si>
    <t xml:space="preserve">Envío c/IVA (€)</t>
  </si>
  <si>
    <t xml:space="preserve">Base imponible (€)</t>
  </si>
  <si>
    <t xml:space="preserve">Cuota IVA (€)</t>
  </si>
  <si>
    <t xml:space="preserve">TOTAL c/IVA (€)</t>
  </si>
  <si>
    <t xml:space="preserve">Reembolsado (€)</t>
  </si>
  <si>
    <t xml:space="preserve">Coste mercancía (€)</t>
  </si>
  <si>
    <t xml:space="preserve">Margen bruto (€)</t>
  </si>
  <si>
    <t xml:space="preserve">Método pago</t>
  </si>
  <si>
    <t xml:space="preserve">Método envío</t>
  </si>
  <si>
    <t xml:space="preserve">Almacén</t>
  </si>
  <si>
    <t xml:space="preserve">Nº líneas</t>
  </si>
  <si>
    <t xml:space="preserve">PV-2025-0001</t>
  </si>
  <si>
    <t xml:space="preserve">Tienda online</t>
  </si>
  <si>
    <t xml:space="preserve">CLI003</t>
  </si>
  <si>
    <t xml:space="preserve">Jordi Serra Vila</t>
  </si>
  <si>
    <t xml:space="preserve">jordi.serra@email.com</t>
  </si>
  <si>
    <t xml:space="preserve">Barcelona</t>
  </si>
  <si>
    <t xml:space="preserve">ES</t>
  </si>
  <si>
    <t xml:space="preserve">pagado</t>
  </si>
  <si>
    <t xml:space="preserve">enviado</t>
  </si>
  <si>
    <t xml:space="preserve">PayPal</t>
  </si>
  <si>
    <t xml:space="preserve">Recogida en tienda</t>
  </si>
  <si>
    <t xml:space="preserve">ALM01</t>
  </si>
  <si>
    <t xml:space="preserve">PV-2025-0002</t>
  </si>
  <si>
    <t xml:space="preserve">TPV tienda</t>
  </si>
  <si>
    <t xml:space="preserve">CLI007</t>
  </si>
  <si>
    <t xml:space="preserve">Pierre Dubois</t>
  </si>
  <si>
    <t xml:space="preserve">pierre.dubois@email.fr</t>
  </si>
  <si>
    <t xml:space="preserve">París</t>
  </si>
  <si>
    <t xml:space="preserve">FR</t>
  </si>
  <si>
    <t xml:space="preserve">BLACK20</t>
  </si>
  <si>
    <t xml:space="preserve">Contra reembolso</t>
  </si>
  <si>
    <t xml:space="preserve">Express 24h</t>
  </si>
  <si>
    <t xml:space="preserve">PV-2025-0003</t>
  </si>
  <si>
    <t xml:space="preserve">Amazon</t>
  </si>
  <si>
    <t xml:space="preserve">CLI010</t>
  </si>
  <si>
    <t xml:space="preserve">MegaStore Canarias S.A.</t>
  </si>
  <si>
    <t xml:space="preserve">pedidos@megastore.es</t>
  </si>
  <si>
    <t xml:space="preserve">Las Palmas</t>
  </si>
  <si>
    <t xml:space="preserve">Transferencia</t>
  </si>
  <si>
    <t xml:space="preserve">ALM03</t>
  </si>
  <si>
    <t xml:space="preserve">PV-2025-0004</t>
  </si>
  <si>
    <t xml:space="preserve">ALM02</t>
  </si>
  <si>
    <t xml:space="preserve">PV-2025-0005</t>
  </si>
  <si>
    <t xml:space="preserve">CLI009</t>
  </si>
  <si>
    <t xml:space="preserve">Lucía Fernández</t>
  </si>
  <si>
    <t xml:space="preserve">lucia.f@email.com</t>
  </si>
  <si>
    <t xml:space="preserve">Oviedo</t>
  </si>
  <si>
    <t xml:space="preserve">Bizum</t>
  </si>
  <si>
    <t xml:space="preserve">PV-2025-0006</t>
  </si>
  <si>
    <t xml:space="preserve">CLI008</t>
  </si>
  <si>
    <t xml:space="preserve">Retail Sur S.L.</t>
  </si>
  <si>
    <t xml:space="preserve">compras@retailsur.es</t>
  </si>
  <si>
    <t xml:space="preserve">Málaga</t>
  </si>
  <si>
    <t xml:space="preserve">VERANO15</t>
  </si>
  <si>
    <t xml:space="preserve">Tarjeta</t>
  </si>
  <si>
    <t xml:space="preserve">Estándar 48-72h</t>
  </si>
  <si>
    <t xml:space="preserve">PV-2025-0007</t>
  </si>
  <si>
    <t xml:space="preserve">Marketplace</t>
  </si>
  <si>
    <t xml:space="preserve">CLI004</t>
  </si>
  <si>
    <t xml:space="preserve">TiendaOnline Norte S.A.</t>
  </si>
  <si>
    <t xml:space="preserve">pedidos@tiendanorte.com</t>
  </si>
  <si>
    <t xml:space="preserve">reembolso_parcial</t>
  </si>
  <si>
    <t xml:space="preserve">ALM04</t>
  </si>
  <si>
    <t xml:space="preserve">PV-2025-0008</t>
  </si>
  <si>
    <t xml:space="preserve">CLI001</t>
  </si>
  <si>
    <t xml:space="preserve">María López García</t>
  </si>
  <si>
    <t xml:space="preserve">maria.lopez@email.com</t>
  </si>
  <si>
    <t xml:space="preserve">Madrid</t>
  </si>
  <si>
    <t xml:space="preserve">PV-2025-0009</t>
  </si>
  <si>
    <t xml:space="preserve">PV-2025-0010</t>
  </si>
  <si>
    <t xml:space="preserve">pendiente</t>
  </si>
  <si>
    <t xml:space="preserve">ENVIOGRATIS</t>
  </si>
  <si>
    <t xml:space="preserve">PV-2025-0011</t>
  </si>
  <si>
    <t xml:space="preserve">CLI011</t>
  </si>
  <si>
    <t xml:space="preserve">Carlos Mendoza</t>
  </si>
  <si>
    <t xml:space="preserve">c.mendoza@email.com</t>
  </si>
  <si>
    <t xml:space="preserve">Bilbao</t>
  </si>
  <si>
    <t xml:space="preserve">PV-2025-0012</t>
  </si>
  <si>
    <t xml:space="preserve">Teléfono</t>
  </si>
  <si>
    <t xml:space="preserve">PV-2025-0013</t>
  </si>
  <si>
    <t xml:space="preserve">PV-2025-0014</t>
  </si>
  <si>
    <t xml:space="preserve">PV-2025-0015</t>
  </si>
  <si>
    <t xml:space="preserve">PV-2025-0016</t>
  </si>
  <si>
    <t xml:space="preserve">PV-2025-0017</t>
  </si>
  <si>
    <t xml:space="preserve">PV-2025-0018</t>
  </si>
  <si>
    <t xml:space="preserve">BIENVENIDA10</t>
  </si>
  <si>
    <t xml:space="preserve">PV-2025-0019</t>
  </si>
  <si>
    <t xml:space="preserve">CLI002</t>
  </si>
  <si>
    <t xml:space="preserve">Distribuciones Ebro S.L.</t>
  </si>
  <si>
    <t xml:space="preserve">compras@ebro.es</t>
  </si>
  <si>
    <t xml:space="preserve">Zaragoza</t>
  </si>
  <si>
    <t xml:space="preserve">PV-2025-0020</t>
  </si>
  <si>
    <t xml:space="preserve">PV-2025-0021</t>
  </si>
  <si>
    <t xml:space="preserve">PV-2025-0022</t>
  </si>
  <si>
    <t xml:space="preserve">PV-2025-0023</t>
  </si>
  <si>
    <t xml:space="preserve">PV-2025-0024</t>
  </si>
  <si>
    <t xml:space="preserve">PV-2025-0025</t>
  </si>
  <si>
    <t xml:space="preserve">PV-2025-0026</t>
  </si>
  <si>
    <t xml:space="preserve">PV-2025-0027</t>
  </si>
  <si>
    <t xml:space="preserve">PV-2025-0028</t>
  </si>
  <si>
    <t xml:space="preserve">PV-2025-0029</t>
  </si>
  <si>
    <t xml:space="preserve">PV-2025-0030</t>
  </si>
  <si>
    <t xml:space="preserve">CLI012</t>
  </si>
  <si>
    <t xml:space="preserve">Sofía Navarro</t>
  </si>
  <si>
    <t xml:space="preserve">sofia.n@email.com</t>
  </si>
  <si>
    <t xml:space="preserve">Murcia</t>
  </si>
  <si>
    <t xml:space="preserve">PV-2025-0031</t>
  </si>
  <si>
    <t xml:space="preserve">PV-2025-0032</t>
  </si>
  <si>
    <t xml:space="preserve">CLI005</t>
  </si>
  <si>
    <t xml:space="preserve">Ana Belén Ruiz</t>
  </si>
  <si>
    <t xml:space="preserve">anabelen@email.com</t>
  </si>
  <si>
    <t xml:space="preserve">Sevilla</t>
  </si>
  <si>
    <t xml:space="preserve">PV-2025-0033</t>
  </si>
  <si>
    <t xml:space="preserve">PV-2025-0034</t>
  </si>
  <si>
    <t xml:space="preserve">PV-2025-0035</t>
  </si>
  <si>
    <t xml:space="preserve">PV-2025-0036</t>
  </si>
  <si>
    <t xml:space="preserve">reembolsado</t>
  </si>
  <si>
    <t xml:space="preserve">PV-2025-0037</t>
  </si>
  <si>
    <t xml:space="preserve">PV-2025-0038</t>
  </si>
  <si>
    <t xml:space="preserve">PV-2025-0039</t>
  </si>
  <si>
    <t xml:space="preserve">PV-2025-0040</t>
  </si>
  <si>
    <t xml:space="preserve">PV-2025-0041</t>
  </si>
  <si>
    <t xml:space="preserve">PV-2025-0042</t>
  </si>
  <si>
    <t xml:space="preserve">PV-2025-0043</t>
  </si>
  <si>
    <t xml:space="preserve">PV-2025-0044</t>
  </si>
  <si>
    <t xml:space="preserve">PV-2025-0045</t>
  </si>
  <si>
    <t xml:space="preserve">PV-2025-0046</t>
  </si>
  <si>
    <t xml:space="preserve">PV-2025-0047</t>
  </si>
  <si>
    <t xml:space="preserve">PV-2025-0048</t>
  </si>
  <si>
    <t xml:space="preserve">PV-2025-0049</t>
  </si>
  <si>
    <t xml:space="preserve">PV-2025-0050</t>
  </si>
  <si>
    <t xml:space="preserve">PV-2025-0051</t>
  </si>
  <si>
    <t xml:space="preserve">PV-2025-0052</t>
  </si>
  <si>
    <t xml:space="preserve">PV-2025-0053</t>
  </si>
  <si>
    <t xml:space="preserve">PV-2025-0054</t>
  </si>
  <si>
    <t xml:space="preserve">PV-2025-0055</t>
  </si>
  <si>
    <t xml:space="preserve">PV-2025-0056</t>
  </si>
  <si>
    <t xml:space="preserve">PV-2025-0057</t>
  </si>
  <si>
    <t xml:space="preserve">PV-2025-0058</t>
  </si>
  <si>
    <t xml:space="preserve">PV-2025-0059</t>
  </si>
  <si>
    <t xml:space="preserve">PV-2025-0060</t>
  </si>
  <si>
    <t xml:space="preserve">PV-2025-0061</t>
  </si>
  <si>
    <t xml:space="preserve">PV-2025-0062</t>
  </si>
  <si>
    <t xml:space="preserve">CLI006</t>
  </si>
  <si>
    <t xml:space="preserve">Comercial Levante S.L.</t>
  </si>
  <si>
    <t xml:space="preserve">info@comerciallevante.es</t>
  </si>
  <si>
    <t xml:space="preserve">Valencia</t>
  </si>
  <si>
    <t xml:space="preserve">PV-2025-0063</t>
  </si>
  <si>
    <t xml:space="preserve">PV-2025-0064</t>
  </si>
  <si>
    <t xml:space="preserve">PV-2025-0065</t>
  </si>
  <si>
    <t xml:space="preserve">PV-2025-0066</t>
  </si>
  <si>
    <t xml:space="preserve">PV-2025-0067</t>
  </si>
  <si>
    <t xml:space="preserve">PV-2025-0068</t>
  </si>
  <si>
    <t xml:space="preserve">PV-2025-0069</t>
  </si>
  <si>
    <t xml:space="preserve">PV-2025-0070</t>
  </si>
  <si>
    <t xml:space="preserve">PV-2025-0071</t>
  </si>
  <si>
    <t xml:space="preserve">PV-2025-0072</t>
  </si>
  <si>
    <t xml:space="preserve">PV-2025-0073</t>
  </si>
  <si>
    <t xml:space="preserve">PV-2025-0074</t>
  </si>
  <si>
    <t xml:space="preserve">PV-2025-0075</t>
  </si>
  <si>
    <t xml:space="preserve">PV-2025-0076</t>
  </si>
  <si>
    <t xml:space="preserve">PV-2025-0077</t>
  </si>
  <si>
    <t xml:space="preserve">PV-2025-0078</t>
  </si>
  <si>
    <t xml:space="preserve">PV-2025-0079</t>
  </si>
  <si>
    <t xml:space="preserve">PV-2025-0080</t>
  </si>
  <si>
    <t xml:space="preserve">PV-2025-0081</t>
  </si>
  <si>
    <t xml:space="preserve">PV-2025-0082</t>
  </si>
  <si>
    <t xml:space="preserve">PV-2025-0083</t>
  </si>
  <si>
    <t xml:space="preserve">PV-2025-0084</t>
  </si>
  <si>
    <t xml:space="preserve">PV-2025-0085</t>
  </si>
  <si>
    <t xml:space="preserve">PV-2025-0086</t>
  </si>
  <si>
    <t xml:space="preserve">PV-2025-0087</t>
  </si>
  <si>
    <t xml:space="preserve">PV-2025-0088</t>
  </si>
  <si>
    <t xml:space="preserve">PV-2025-0089</t>
  </si>
  <si>
    <t xml:space="preserve">PV-2025-0090</t>
  </si>
  <si>
    <t xml:space="preserve">PV-2025-0091</t>
  </si>
  <si>
    <t xml:space="preserve">PV-2025-0092</t>
  </si>
  <si>
    <t xml:space="preserve">PV-2025-0093</t>
  </si>
  <si>
    <t xml:space="preserve">PV-2025-0094</t>
  </si>
  <si>
    <t xml:space="preserve">PV-2025-0095</t>
  </si>
  <si>
    <t xml:space="preserve">PV-2025-0096</t>
  </si>
  <si>
    <t xml:space="preserve">PV-2025-0097</t>
  </si>
  <si>
    <t xml:space="preserve">PV-2025-0098</t>
  </si>
  <si>
    <t xml:space="preserve">PV-2025-0099</t>
  </si>
  <si>
    <t xml:space="preserve">PV-2025-0100</t>
  </si>
  <si>
    <t xml:space="preserve">PV-2025-0101</t>
  </si>
  <si>
    <t xml:space="preserve">PV-2025-0102</t>
  </si>
  <si>
    <t xml:space="preserve">PV-2025-0103</t>
  </si>
  <si>
    <t xml:space="preserve">PV-2025-0104</t>
  </si>
  <si>
    <t xml:space="preserve">PV-2025-0105</t>
  </si>
  <si>
    <t xml:space="preserve">PV-2025-0106</t>
  </si>
  <si>
    <t xml:space="preserve">PV-2025-0107</t>
  </si>
  <si>
    <t xml:space="preserve">PV-2025-0108</t>
  </si>
  <si>
    <t xml:space="preserve">PV-2025-0109</t>
  </si>
  <si>
    <t xml:space="preserve">PV-2025-0110</t>
  </si>
  <si>
    <t xml:space="preserve">PV-2025-0111</t>
  </si>
  <si>
    <t xml:space="preserve">PV-2025-0112</t>
  </si>
  <si>
    <t xml:space="preserve">PV-2025-0113</t>
  </si>
  <si>
    <t xml:space="preserve">PV-2025-0114</t>
  </si>
  <si>
    <t xml:space="preserve">PV-2025-0115</t>
  </si>
  <si>
    <t xml:space="preserve">PV-2025-0116</t>
  </si>
  <si>
    <t xml:space="preserve">PV-2025-0117</t>
  </si>
  <si>
    <t xml:space="preserve">PV-2025-0118</t>
  </si>
  <si>
    <t xml:space="preserve">PV-2025-0119</t>
  </si>
  <si>
    <t xml:space="preserve">PV-2025-0120</t>
  </si>
  <si>
    <t xml:space="preserve">PV-2025-0121</t>
  </si>
  <si>
    <t xml:space="preserve">PV-2025-0122</t>
  </si>
  <si>
    <t xml:space="preserve">PV-2025-0123</t>
  </si>
  <si>
    <t xml:space="preserve">PV-2025-0124</t>
  </si>
  <si>
    <t xml:space="preserve">PV-2025-0125</t>
  </si>
  <si>
    <t xml:space="preserve">PV-2025-0126</t>
  </si>
  <si>
    <t xml:space="preserve">PV-2025-0127</t>
  </si>
  <si>
    <t xml:space="preserve">PV-2025-0128</t>
  </si>
  <si>
    <t xml:space="preserve">PV-2025-0129</t>
  </si>
  <si>
    <t xml:space="preserve">PV-2025-0130</t>
  </si>
  <si>
    <t xml:space="preserve">PV-2025-0131</t>
  </si>
  <si>
    <t xml:space="preserve">PV-2025-0132</t>
  </si>
  <si>
    <t xml:space="preserve">PV-2025-0133</t>
  </si>
  <si>
    <t xml:space="preserve">PV-2025-0134</t>
  </si>
  <si>
    <t xml:space="preserve">PV-2025-0135</t>
  </si>
  <si>
    <t xml:space="preserve">PV-2025-0136</t>
  </si>
  <si>
    <t xml:space="preserve">PV-2025-0137</t>
  </si>
  <si>
    <t xml:space="preserve">PV-2025-0138</t>
  </si>
  <si>
    <t xml:space="preserve">PV-2025-0139</t>
  </si>
  <si>
    <t xml:space="preserve">PV-2025-0140</t>
  </si>
  <si>
    <t xml:space="preserve">PV-2025-0141</t>
  </si>
  <si>
    <t xml:space="preserve">PV-2025-0142</t>
  </si>
  <si>
    <t xml:space="preserve">PV-2025-0143</t>
  </si>
  <si>
    <t xml:space="preserve">PV-2025-0144</t>
  </si>
  <si>
    <t xml:space="preserve">PV-2025-0145</t>
  </si>
  <si>
    <t xml:space="preserve">PV-2025-0146</t>
  </si>
  <si>
    <t xml:space="preserve">PV-2025-0147</t>
  </si>
  <si>
    <t xml:space="preserve">PV-2025-0148</t>
  </si>
  <si>
    <t xml:space="preserve">PV-2025-0149</t>
  </si>
  <si>
    <t xml:space="preserve">PV-2025-0150</t>
  </si>
  <si>
    <t xml:space="preserve">PV-2025-0151</t>
  </si>
  <si>
    <t xml:space="preserve">PV-2025-0152</t>
  </si>
  <si>
    <t xml:space="preserve">PV-2025-0153</t>
  </si>
  <si>
    <t xml:space="preserve">PV-2025-0154</t>
  </si>
  <si>
    <t xml:space="preserve">PV-2025-0155</t>
  </si>
  <si>
    <t xml:space="preserve">PV-2025-0156</t>
  </si>
  <si>
    <t xml:space="preserve">PV-2025-0157</t>
  </si>
  <si>
    <t xml:space="preserve">PV-2025-0158</t>
  </si>
  <si>
    <t xml:space="preserve">PV-2025-0159</t>
  </si>
  <si>
    <t xml:space="preserve">PV-2025-0160</t>
  </si>
  <si>
    <t xml:space="preserve">PV-2025-0161</t>
  </si>
  <si>
    <t xml:space="preserve">PV-2026-0162</t>
  </si>
  <si>
    <t xml:space="preserve">PV-2026-0163</t>
  </si>
  <si>
    <t xml:space="preserve">PV-2026-0164</t>
  </si>
  <si>
    <t xml:space="preserve">PV-2026-0165</t>
  </si>
  <si>
    <t xml:space="preserve">PV-2026-0166</t>
  </si>
  <si>
    <t xml:space="preserve">PV-2026-0167</t>
  </si>
  <si>
    <t xml:space="preserve">PV-2026-0168</t>
  </si>
  <si>
    <t xml:space="preserve">PV-2026-0169</t>
  </si>
  <si>
    <t xml:space="preserve">PV-2026-0170</t>
  </si>
  <si>
    <t xml:space="preserve">PV-2026-0171</t>
  </si>
  <si>
    <t xml:space="preserve">PV-2026-0172</t>
  </si>
  <si>
    <t xml:space="preserve">PV-2026-0173</t>
  </si>
  <si>
    <t xml:space="preserve">PV-2026-0174</t>
  </si>
  <si>
    <t xml:space="preserve">PV-2026-0175</t>
  </si>
  <si>
    <t xml:space="preserve">PV-2026-0176</t>
  </si>
  <si>
    <t xml:space="preserve">PV-2026-0177</t>
  </si>
  <si>
    <t xml:space="preserve">PV-2026-0178</t>
  </si>
  <si>
    <t xml:space="preserve">PV-2026-0179</t>
  </si>
  <si>
    <t xml:space="preserve">PV-2026-0180</t>
  </si>
  <si>
    <t xml:space="preserve">PV-2026-0181</t>
  </si>
  <si>
    <t xml:space="preserve">PV-2026-0182</t>
  </si>
  <si>
    <t xml:space="preserve">PV-2026-0183</t>
  </si>
  <si>
    <t xml:space="preserve">PV-2026-0184</t>
  </si>
  <si>
    <t xml:space="preserve">PV-2026-0185</t>
  </si>
  <si>
    <t xml:space="preserve">PV-2026-0186</t>
  </si>
  <si>
    <t xml:space="preserve">PV-2026-0187</t>
  </si>
  <si>
    <t xml:space="preserve">PV-2026-0188</t>
  </si>
  <si>
    <t xml:space="preserve">PV-2026-0189</t>
  </si>
  <si>
    <t xml:space="preserve">PV-2026-0190</t>
  </si>
  <si>
    <t xml:space="preserve">PV-2026-0191</t>
  </si>
  <si>
    <t xml:space="preserve">PV-2026-0192</t>
  </si>
  <si>
    <t xml:space="preserve">PV-2026-0193</t>
  </si>
  <si>
    <t xml:space="preserve">PV-2026-0194</t>
  </si>
  <si>
    <t xml:space="preserve">PV-2026-0195</t>
  </si>
  <si>
    <t xml:space="preserve">PV-2026-0196</t>
  </si>
  <si>
    <t xml:space="preserve">PV-2026-0197</t>
  </si>
  <si>
    <t xml:space="preserve">PV-2026-0198</t>
  </si>
  <si>
    <t xml:space="preserve">PV-2026-0199</t>
  </si>
  <si>
    <t xml:space="preserve">PV-2026-0200</t>
  </si>
  <si>
    <t xml:space="preserve">PV-2026-0201</t>
  </si>
  <si>
    <t xml:space="preserve">PV-2026-0202</t>
  </si>
  <si>
    <t xml:space="preserve">PV-2026-0203</t>
  </si>
  <si>
    <t xml:space="preserve">PV-2026-0204</t>
  </si>
  <si>
    <t xml:space="preserve">PV-2026-0205</t>
  </si>
  <si>
    <t xml:space="preserve">PV-2026-0206</t>
  </si>
  <si>
    <t xml:space="preserve">PV-2026-0207</t>
  </si>
  <si>
    <t xml:space="preserve">PV-2026-0208</t>
  </si>
  <si>
    <t xml:space="preserve">PV-2026-0209</t>
  </si>
  <si>
    <t xml:space="preserve">PV-2026-0210</t>
  </si>
  <si>
    <t xml:space="preserve">PV-2026-0211</t>
  </si>
  <si>
    <t xml:space="preserve">PV-2026-0212</t>
  </si>
  <si>
    <t xml:space="preserve">PV-2026-0213</t>
  </si>
  <si>
    <t xml:space="preserve">PV-2026-0214</t>
  </si>
  <si>
    <t xml:space="preserve">PV-2026-0215</t>
  </si>
  <si>
    <t xml:space="preserve">PV-2026-0216</t>
  </si>
  <si>
    <t xml:space="preserve">PV-2026-0217</t>
  </si>
  <si>
    <t xml:space="preserve">PV-2026-0218</t>
  </si>
  <si>
    <t xml:space="preserve">PV-2026-0219</t>
  </si>
  <si>
    <t xml:space="preserve">PV-2026-0220</t>
  </si>
  <si>
    <t xml:space="preserve">PV-2026-0221</t>
  </si>
  <si>
    <t xml:space="preserve">PV-2026-0222</t>
  </si>
  <si>
    <t xml:space="preserve">PV-2026-0223</t>
  </si>
  <si>
    <t xml:space="preserve">PV-2026-0224</t>
  </si>
  <si>
    <t xml:space="preserve">PV-2026-0225</t>
  </si>
  <si>
    <t xml:space="preserve">PV-2026-0226</t>
  </si>
  <si>
    <t xml:space="preserve">PV-2026-0227</t>
  </si>
  <si>
    <t xml:space="preserve">PV-2026-0228</t>
  </si>
  <si>
    <t xml:space="preserve">PV-2026-0229</t>
  </si>
  <si>
    <t xml:space="preserve">PV-2026-0230</t>
  </si>
  <si>
    <t xml:space="preserve">PV-2026-0231</t>
  </si>
  <si>
    <t xml:space="preserve">PV-2026-0232</t>
  </si>
  <si>
    <t xml:space="preserve">PV-2026-0233</t>
  </si>
  <si>
    <t xml:space="preserve">PV-2026-0234</t>
  </si>
  <si>
    <t xml:space="preserve">PV-2026-0235</t>
  </si>
  <si>
    <t xml:space="preserve">PV-2026-0236</t>
  </si>
  <si>
    <t xml:space="preserve">PV-2026-0237</t>
  </si>
  <si>
    <t xml:space="preserve">PV-2026-0238</t>
  </si>
  <si>
    <t xml:space="preserve">PV-2026-0239</t>
  </si>
  <si>
    <t xml:space="preserve">PV-2026-0240</t>
  </si>
  <si>
    <t xml:space="preserve">PV-2026-0241</t>
  </si>
  <si>
    <t xml:space="preserve">PV-2026-0242</t>
  </si>
  <si>
    <t xml:space="preserve">PV-2026-0243</t>
  </si>
  <si>
    <t xml:space="preserve">PV-2026-0244</t>
  </si>
  <si>
    <t xml:space="preserve">PV-2026-0245</t>
  </si>
  <si>
    <t xml:space="preserve">PV-2026-0246</t>
  </si>
  <si>
    <t xml:space="preserve">PV-2026-0247</t>
  </si>
  <si>
    <t xml:space="preserve">PV-2026-0248</t>
  </si>
  <si>
    <t xml:space="preserve">PV-2026-0249</t>
  </si>
  <si>
    <t xml:space="preserve">PV-2026-0250</t>
  </si>
  <si>
    <t xml:space="preserve">PV-2026-0251</t>
  </si>
  <si>
    <t xml:space="preserve">PV-2026-0252</t>
  </si>
  <si>
    <t xml:space="preserve">PV-2026-0253</t>
  </si>
  <si>
    <t xml:space="preserve">PV-2026-0254</t>
  </si>
  <si>
    <t xml:space="preserve">PV-2026-0255</t>
  </si>
  <si>
    <t xml:space="preserve">PV-2026-0256</t>
  </si>
  <si>
    <t xml:space="preserve">PV-2026-0257</t>
  </si>
  <si>
    <t xml:space="preserve">PV-2026-0258</t>
  </si>
  <si>
    <t xml:space="preserve">PV-2026-0259</t>
  </si>
  <si>
    <t xml:space="preserve">PV-2026-0260</t>
  </si>
  <si>
    <t xml:space="preserve">PV-2026-0261</t>
  </si>
  <si>
    <t xml:space="preserve">PV-2026-0262</t>
  </si>
  <si>
    <t xml:space="preserve">PV-2026-0263</t>
  </si>
  <si>
    <t xml:space="preserve">PV-2026-0264</t>
  </si>
  <si>
    <t xml:space="preserve">PV-2026-0265</t>
  </si>
  <si>
    <t xml:space="preserve">PV-2026-0266</t>
  </si>
  <si>
    <t xml:space="preserve">PV-2026-0267</t>
  </si>
  <si>
    <t xml:space="preserve">PV-2026-0268</t>
  </si>
  <si>
    <t xml:space="preserve">PV-2026-0269</t>
  </si>
  <si>
    <t xml:space="preserve">PV-2026-0270</t>
  </si>
  <si>
    <t xml:space="preserve">PV-2026-0271</t>
  </si>
  <si>
    <t xml:space="preserve">PV-2026-0272</t>
  </si>
  <si>
    <t xml:space="preserve">PV-2026-0273</t>
  </si>
  <si>
    <t xml:space="preserve">PV-2026-0274</t>
  </si>
  <si>
    <t xml:space="preserve">PV-2026-0275</t>
  </si>
  <si>
    <t xml:space="preserve">PV-2026-0276</t>
  </si>
  <si>
    <t xml:space="preserve">PV-2026-0277</t>
  </si>
  <si>
    <t xml:space="preserve">PV-2026-0278</t>
  </si>
  <si>
    <t xml:space="preserve">PV-2026-0279</t>
  </si>
  <si>
    <t xml:space="preserve">PV-2026-0280</t>
  </si>
  <si>
    <t xml:space="preserve">PV-2026-0281</t>
  </si>
  <si>
    <t xml:space="preserve">PV-2026-0282</t>
  </si>
  <si>
    <t xml:space="preserve">PV-2026-0283</t>
  </si>
  <si>
    <t xml:space="preserve">PV-2026-0284</t>
  </si>
  <si>
    <t xml:space="preserve">PV-2026-0285</t>
  </si>
  <si>
    <t xml:space="preserve">PV-2026-0286</t>
  </si>
  <si>
    <t xml:space="preserve">PV-2026-0287</t>
  </si>
  <si>
    <t xml:space="preserve">PV-2026-0288</t>
  </si>
  <si>
    <t xml:space="preserve">PV-2026-0289</t>
  </si>
  <si>
    <t xml:space="preserve">PV-2026-0290</t>
  </si>
  <si>
    <t xml:space="preserve">PV-2026-0291</t>
  </si>
  <si>
    <t xml:space="preserve">PV-2026-0292</t>
  </si>
  <si>
    <t xml:space="preserve">PV-2026-0293</t>
  </si>
  <si>
    <t xml:space="preserve">PV-2026-0294</t>
  </si>
  <si>
    <t xml:space="preserve">PV-2026-0295</t>
  </si>
  <si>
    <t xml:space="preserve">PV-2026-0296</t>
  </si>
  <si>
    <t xml:space="preserve">PV-2026-0297</t>
  </si>
  <si>
    <t xml:space="preserve">PV-2026-0298</t>
  </si>
  <si>
    <t xml:space="preserve">PV-2026-0299</t>
  </si>
  <si>
    <t xml:space="preserve">PV-2026-0300</t>
  </si>
  <si>
    <t xml:space="preserve">PV-2026-0301</t>
  </si>
  <si>
    <t xml:space="preserve">PV-2026-0302</t>
  </si>
  <si>
    <t xml:space="preserve">PV-2026-0303</t>
  </si>
  <si>
    <t xml:space="preserve">PV-2026-0304</t>
  </si>
  <si>
    <t xml:space="preserve">PV-2026-0305</t>
  </si>
  <si>
    <t xml:space="preserve">PV-2026-0306</t>
  </si>
  <si>
    <t xml:space="preserve">PV-2026-0307</t>
  </si>
  <si>
    <t xml:space="preserve">PV-2026-0308</t>
  </si>
  <si>
    <t xml:space="preserve">PV-2026-0309</t>
  </si>
  <si>
    <t xml:space="preserve">PV-2026-0310</t>
  </si>
  <si>
    <t xml:space="preserve">ID línea</t>
  </si>
  <si>
    <t xml:space="preserve">Producto</t>
  </si>
  <si>
    <t xml:space="preserve">Cantidad</t>
  </si>
  <si>
    <t xml:space="preserve">PVP unit. c/IVA (€)</t>
  </si>
  <si>
    <t xml:space="preserve">Bruto c/IVA (€)</t>
  </si>
  <si>
    <t xml:space="preserve">Dto. línea %</t>
  </si>
  <si>
    <t xml:space="preserve">Dto. línea (€)</t>
  </si>
  <si>
    <t xml:space="preserve">Dto. cupón prorrat. (€)</t>
  </si>
  <si>
    <t xml:space="preserve">Neto c/IVA (€)</t>
  </si>
  <si>
    <t xml:space="preserve">Base sin IVA (€)</t>
  </si>
  <si>
    <t xml:space="preserve">Coste total (€)</t>
  </si>
  <si>
    <t xml:space="preserve">Margen (€)</t>
  </si>
  <si>
    <t xml:space="preserve">Unidades vendidas</t>
  </si>
  <si>
    <t xml:space="preserve">Nº pedidos</t>
  </si>
  <si>
    <t xml:space="preserve">Ingresos c/IVA (€)</t>
  </si>
  <si>
    <t xml:space="preserve">Ingresos sin IVA (€)</t>
  </si>
  <si>
    <t xml:space="preserve">Coste (€)</t>
  </si>
  <si>
    <t xml:space="preserve">Beneficio (€)</t>
  </si>
  <si>
    <t xml:space="preserve">Beneficio / unidad (€)</t>
  </si>
  <si>
    <t xml:space="preserve">Mes</t>
  </si>
  <si>
    <t xml:space="preserve">Unidades</t>
  </si>
  <si>
    <t xml:space="preserve">Reembolsos (€)</t>
  </si>
  <si>
    <t xml:space="preserve">Ticket medio (€)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</si>
  <si>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</si>
  <si>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</si>
  <si>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</si>
  <si>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</si>
  <si>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</si>
  <si>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</si>
  <si>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</si>
  <si>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</si>
  <si>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</si>
  <si>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</si>
  <si>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</si>
  <si>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</si>
  <si>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Comprobación</t>
  </si>
  <si>
    <t xml:space="preserve">Valor esperado</t>
  </si>
  <si>
    <t xml:space="preserve">Nota</t>
  </si>
  <si>
    <t xml:space="preserve">Nº de pedidos</t>
  </si>
  <si>
    <t xml:space="preserve">Nº de líneas</t>
  </si>
  <si>
    <t xml:space="preserve">Suma neto de líneas (c/IVA)</t>
  </si>
  <si>
    <t xml:space="preserve">Σ 'Neto c/IVA' de Líneas</t>
  </si>
  <si>
    <t xml:space="preserve">Suma portes (c/IVA)</t>
  </si>
  <si>
    <t xml:space="preserve">TOTAL facturado (c/IVA)</t>
  </si>
  <si>
    <t xml:space="preserve">Líneas + portes (debe cuadrar)</t>
  </si>
  <si>
    <t xml:space="preserve">Base imponible total</t>
  </si>
  <si>
    <t xml:space="preserve">Cuota IVA total</t>
  </si>
  <si>
    <t xml:space="preserve">Comprobación base + IVA = total</t>
  </si>
  <si>
    <t xml:space="preserve">debe ser igual al TOTAL</t>
  </si>
  <si>
    <t xml:space="preserve">Coste de mercancía</t>
  </si>
  <si>
    <t xml:space="preserve">BENEFICIO BRUTO</t>
  </si>
  <si>
    <t xml:space="preserve">Base de líneas menos coste (sin portes)</t>
  </si>
  <si>
    <t xml:space="preserve">Margen % global</t>
  </si>
  <si>
    <t xml:space="preserve">sobre base de mercancía</t>
  </si>
  <si>
    <t xml:space="preserve">Reembolsos (c/IVA)</t>
  </si>
  <si>
    <t xml:space="preserve">Ticket medio (c/IVA)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</si>
</sst>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"/>
    <numFmt numFmtId="166" formatCode="0.0%"/>
    <numFmt numFmtId="167" formatCode="dd/mm/yyyy\ hh:mm"/>
    <numFmt numFmtId="168" formatCode="#,##0"/>
    <numFmt numFmtId="169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n">
        <v>89.9</v>
      </c>
      <c r="F2" s="4" t="n">
        <v>0.21</v>
      </c>
      <c r="G2" s="3" t="n">
        <f aca="false">E2/(1+F2)</f>
        <v>74.297520661157</v>
      </c>
      <c r="H2" s="3" t="n">
        <v>38.5</v>
      </c>
      <c r="I2" s="3" t="n">
        <f aca="false">G2-H2</f>
        <v>35.797520661157</v>
      </c>
      <c r="J2" s="4" t="n">
        <f aca="false">IF(G2=0,0,I2/G2)</f>
        <v>0.481813125695217</v>
      </c>
      <c r="K2" s="2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13</v>
      </c>
      <c r="D3" s="5" t="s">
        <v>14</v>
      </c>
      <c r="E3" s="6" t="n">
        <v>54.9</v>
      </c>
      <c r="F3" s="7" t="n">
        <v>0.21</v>
      </c>
      <c r="G3" s="6" t="n">
        <f aca="false">E3/(1+F3)</f>
        <v>45.3719008264463</v>
      </c>
      <c r="H3" s="6" t="n">
        <v>22</v>
      </c>
      <c r="I3" s="6" t="n">
        <f aca="false">G3-H3</f>
        <v>23.3719008264463</v>
      </c>
      <c r="J3" s="7" t="n">
        <f aca="false">IF(G3=0,0,I3/G3)</f>
        <v>0.51511839708561</v>
      </c>
      <c r="K3" s="5" t="s">
        <v>15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13</v>
      </c>
      <c r="D4" s="2" t="s">
        <v>14</v>
      </c>
      <c r="E4" s="3" t="n">
        <v>199</v>
      </c>
      <c r="F4" s="4" t="n">
        <v>0.21</v>
      </c>
      <c r="G4" s="3" t="n">
        <f aca="false">E4/(1+F4)</f>
        <v>164.462809917355</v>
      </c>
      <c r="H4" s="3" t="n">
        <v>95</v>
      </c>
      <c r="I4" s="3" t="n">
        <f aca="false">G4-H4</f>
        <v>69.4628099173554</v>
      </c>
      <c r="J4" s="4" t="n">
        <f aca="false">IF(G4=0,0,I4/G4)</f>
        <v>0.422361809045226</v>
      </c>
      <c r="K4" s="2" t="s">
        <v>15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22</v>
      </c>
      <c r="D5" s="5" t="s">
        <v>23</v>
      </c>
      <c r="E5" s="6" t="n">
        <v>799</v>
      </c>
      <c r="F5" s="7" t="n">
        <v>0.21</v>
      </c>
      <c r="G5" s="6" t="n">
        <f aca="false">E5/(1+F5)</f>
        <v>660.330578512397</v>
      </c>
      <c r="H5" s="6" t="n">
        <v>550</v>
      </c>
      <c r="I5" s="6" t="n">
        <f aca="false">G5-H5</f>
        <v>110.330578512397</v>
      </c>
      <c r="J5" s="7" t="n">
        <f aca="false">IF(G5=0,0,I5/G5)</f>
        <v>0.167083854818523</v>
      </c>
      <c r="K5" s="5" t="s">
        <v>15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22</v>
      </c>
      <c r="D6" s="2" t="s">
        <v>23</v>
      </c>
      <c r="E6" s="3" t="n">
        <v>24.9</v>
      </c>
      <c r="F6" s="4" t="n">
        <v>0.21</v>
      </c>
      <c r="G6" s="3" t="n">
        <f aca="false">E6/(1+F6)</f>
        <v>20.5785123966942</v>
      </c>
      <c r="H6" s="3" t="n">
        <v>9.8</v>
      </c>
      <c r="I6" s="3" t="n">
        <f aca="false">G6-H6</f>
        <v>10.7785123966942</v>
      </c>
      <c r="J6" s="4" t="n">
        <f aca="false">IF(G6=0,0,I6/G6)</f>
        <v>0.523775100401606</v>
      </c>
      <c r="K6" s="2" t="s">
        <v>15</v>
      </c>
    </row>
    <row r="7" customFormat="false" ht="15" hidden="false" customHeight="false" outlineLevel="0" collapsed="false">
      <c r="A7" s="5" t="s">
        <v>26</v>
      </c>
      <c r="B7" s="5" t="s">
        <v>27</v>
      </c>
      <c r="C7" s="5" t="s">
        <v>22</v>
      </c>
      <c r="D7" s="5" t="s">
        <v>23</v>
      </c>
      <c r="E7" s="6" t="n">
        <v>79.9</v>
      </c>
      <c r="F7" s="7" t="n">
        <v>0.21</v>
      </c>
      <c r="G7" s="6" t="n">
        <f aca="false">E7/(1+F7)</f>
        <v>66.0330578512397</v>
      </c>
      <c r="H7" s="6" t="n">
        <v>34</v>
      </c>
      <c r="I7" s="6" t="n">
        <f aca="false">G7-H7</f>
        <v>32.0330578512397</v>
      </c>
      <c r="J7" s="7" t="n">
        <f aca="false">IF(G7=0,0,I7/G7)</f>
        <v>0.485106382978723</v>
      </c>
      <c r="K7" s="5" t="s">
        <v>15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23</v>
      </c>
      <c r="E8" s="3" t="n">
        <v>289</v>
      </c>
      <c r="F8" s="4" t="n">
        <v>0.21</v>
      </c>
      <c r="G8" s="3" t="n">
        <f aca="false">E8/(1+F8)</f>
        <v>238.842975206612</v>
      </c>
      <c r="H8" s="3" t="n">
        <v>140</v>
      </c>
      <c r="I8" s="3" t="n">
        <f aca="false">G8-H8</f>
        <v>98.8429752066116</v>
      </c>
      <c r="J8" s="4" t="n">
        <f aca="false">IF(G8=0,0,I8/G8)</f>
        <v>0.413840830449827</v>
      </c>
      <c r="K8" s="2" t="s">
        <v>15</v>
      </c>
    </row>
    <row r="9" customFormat="false" ht="15" hidden="false" customHeight="false" outlineLevel="0" collapsed="false">
      <c r="A9" s="5" t="s">
        <v>31</v>
      </c>
      <c r="B9" s="5" t="s">
        <v>32</v>
      </c>
      <c r="C9" s="5" t="s">
        <v>33</v>
      </c>
      <c r="D9" s="5" t="s">
        <v>23</v>
      </c>
      <c r="E9" s="6" t="n">
        <v>89.9</v>
      </c>
      <c r="F9" s="7" t="n">
        <v>0.21</v>
      </c>
      <c r="G9" s="6" t="n">
        <f aca="false">E9/(1+F9)</f>
        <v>74.297520661157</v>
      </c>
      <c r="H9" s="6" t="n">
        <v>48</v>
      </c>
      <c r="I9" s="6" t="n">
        <f aca="false">G9-H9</f>
        <v>26.297520661157</v>
      </c>
      <c r="J9" s="7" t="n">
        <f aca="false">IF(G9=0,0,I9/G9)</f>
        <v>0.353948832035595</v>
      </c>
      <c r="K9" s="5" t="s">
        <v>15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30</v>
      </c>
      <c r="D10" s="2" t="s">
        <v>23</v>
      </c>
      <c r="E10" s="3" t="n">
        <v>44.9</v>
      </c>
      <c r="F10" s="4" t="n">
        <v>0.21</v>
      </c>
      <c r="G10" s="3" t="n">
        <f aca="false">E10/(1+F10)</f>
        <v>37.1074380165289</v>
      </c>
      <c r="H10" s="3" t="n">
        <v>19</v>
      </c>
      <c r="I10" s="3" t="n">
        <f aca="false">G10-H10</f>
        <v>18.1074380165289</v>
      </c>
      <c r="J10" s="4" t="n">
        <f aca="false">IF(G10=0,0,I10/G10)</f>
        <v>0.487973273942094</v>
      </c>
      <c r="K10" s="2" t="s">
        <v>15</v>
      </c>
    </row>
    <row r="11" customFormat="false" ht="15" hidden="false" customHeight="false" outlineLevel="0" collapsed="false">
      <c r="A11" s="5" t="s">
        <v>36</v>
      </c>
      <c r="B11" s="5" t="s">
        <v>37</v>
      </c>
      <c r="C11" s="5" t="s">
        <v>38</v>
      </c>
      <c r="D11" s="5" t="s">
        <v>39</v>
      </c>
      <c r="E11" s="6" t="n">
        <v>399</v>
      </c>
      <c r="F11" s="7" t="n">
        <v>0.21</v>
      </c>
      <c r="G11" s="6" t="n">
        <f aca="false">E11/(1+F11)</f>
        <v>329.752066115702</v>
      </c>
      <c r="H11" s="6" t="n">
        <v>265</v>
      </c>
      <c r="I11" s="6" t="n">
        <f aca="false">G11-H11</f>
        <v>64.7520661157025</v>
      </c>
      <c r="J11" s="7" t="n">
        <f aca="false">IF(G11=0,0,I11/G11)</f>
        <v>0.196365914786967</v>
      </c>
      <c r="K11" s="5" t="s">
        <v>15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38</v>
      </c>
      <c r="D12" s="2" t="s">
        <v>39</v>
      </c>
      <c r="E12" s="3" t="n">
        <v>12.9</v>
      </c>
      <c r="F12" s="4" t="n">
        <v>0.21</v>
      </c>
      <c r="G12" s="3" t="n">
        <f aca="false">E12/(1+F12)</f>
        <v>10.6611570247934</v>
      </c>
      <c r="H12" s="3" t="n">
        <v>2.1</v>
      </c>
      <c r="I12" s="3" t="n">
        <f aca="false">G12-H12</f>
        <v>8.56115702479339</v>
      </c>
      <c r="J12" s="4" t="n">
        <f aca="false">IF(G12=0,0,I12/G12)</f>
        <v>0.803023255813954</v>
      </c>
      <c r="K12" s="2" t="s">
        <v>15</v>
      </c>
    </row>
    <row r="13" customFormat="false" ht="15" hidden="false" customHeight="false" outlineLevel="0" collapsed="false">
      <c r="A13" s="5" t="s">
        <v>42</v>
      </c>
      <c r="B13" s="5" t="s">
        <v>43</v>
      </c>
      <c r="C13" s="5" t="s">
        <v>44</v>
      </c>
      <c r="D13" s="5" t="s">
        <v>39</v>
      </c>
      <c r="E13" s="6" t="n">
        <v>24.9</v>
      </c>
      <c r="F13" s="7" t="n">
        <v>0.21</v>
      </c>
      <c r="G13" s="6" t="n">
        <f aca="false">E13/(1+F13)</f>
        <v>20.5785123966942</v>
      </c>
      <c r="H13" s="6" t="n">
        <v>8.5</v>
      </c>
      <c r="I13" s="6" t="n">
        <f aca="false">G13-H13</f>
        <v>12.0785123966942</v>
      </c>
      <c r="J13" s="7" t="n">
        <f aca="false">IF(G13=0,0,I13/G13)</f>
        <v>0.586947791164659</v>
      </c>
      <c r="K13" s="5" t="s">
        <v>15</v>
      </c>
    </row>
    <row r="14" customFormat="false" ht="15" hidden="false" customHeight="false" outlineLevel="0" collapsed="false">
      <c r="A14" s="2" t="s">
        <v>45</v>
      </c>
      <c r="B14" s="2" t="s">
        <v>46</v>
      </c>
      <c r="C14" s="2" t="s">
        <v>38</v>
      </c>
      <c r="D14" s="2" t="s">
        <v>39</v>
      </c>
      <c r="E14" s="3" t="n">
        <v>79.9</v>
      </c>
      <c r="F14" s="4" t="n">
        <v>0.21</v>
      </c>
      <c r="G14" s="3" t="n">
        <f aca="false">E14/(1+F14)</f>
        <v>66.0330578512397</v>
      </c>
      <c r="H14" s="3" t="n">
        <v>32</v>
      </c>
      <c r="I14" s="3" t="n">
        <f aca="false">G14-H14</f>
        <v>34.0330578512397</v>
      </c>
      <c r="J14" s="4" t="n">
        <f aca="false">IF(G14=0,0,I14/G14)</f>
        <v>0.515394242803504</v>
      </c>
      <c r="K14" s="2" t="s">
        <v>15</v>
      </c>
    </row>
    <row r="15" customFormat="false" ht="15" hidden="false" customHeight="false" outlineLevel="0" collapsed="false">
      <c r="A15" s="5" t="s">
        <v>47</v>
      </c>
      <c r="B15" s="5" t="s">
        <v>48</v>
      </c>
      <c r="C15" s="5" t="s">
        <v>44</v>
      </c>
      <c r="D15" s="5" t="s">
        <v>39</v>
      </c>
      <c r="E15" s="6" t="n">
        <v>34.9</v>
      </c>
      <c r="F15" s="7" t="n">
        <v>0.21</v>
      </c>
      <c r="G15" s="6" t="n">
        <f aca="false">E15/(1+F15)</f>
        <v>28.8429752066116</v>
      </c>
      <c r="H15" s="6" t="n">
        <v>14</v>
      </c>
      <c r="I15" s="6" t="n">
        <f aca="false">G15-H15</f>
        <v>14.8429752066116</v>
      </c>
      <c r="J15" s="7" t="n">
        <f aca="false">IF(G15=0,0,I15/G15)</f>
        <v>0.514613180515759</v>
      </c>
      <c r="K15" s="5" t="s">
        <v>15</v>
      </c>
    </row>
    <row r="16" customFormat="false" ht="15" hidden="false" customHeight="false" outlineLevel="0" collapsed="false">
      <c r="A16" s="2" t="s">
        <v>49</v>
      </c>
      <c r="B16" s="2" t="s">
        <v>50</v>
      </c>
      <c r="C16" s="2" t="s">
        <v>51</v>
      </c>
      <c r="D16" s="2" t="s">
        <v>52</v>
      </c>
      <c r="E16" s="3" t="n">
        <v>19.9</v>
      </c>
      <c r="F16" s="4" t="n">
        <v>0.21</v>
      </c>
      <c r="G16" s="3" t="n">
        <f aca="false">E16/(1+F16)</f>
        <v>16.4462809917355</v>
      </c>
      <c r="H16" s="3" t="n">
        <v>7.9</v>
      </c>
      <c r="I16" s="3" t="n">
        <f aca="false">G16-H16</f>
        <v>8.54628099173554</v>
      </c>
      <c r="J16" s="4" t="n">
        <f aca="false">IF(G16=0,0,I16/G16)</f>
        <v>0.51964824120603</v>
      </c>
      <c r="K16" s="2" t="s">
        <v>15</v>
      </c>
    </row>
    <row r="17" customFormat="false" ht="15" hidden="false" customHeight="false" outlineLevel="0" collapsed="false">
      <c r="A17" s="5" t="s">
        <v>53</v>
      </c>
      <c r="B17" s="5" t="s">
        <v>54</v>
      </c>
      <c r="C17" s="5" t="s">
        <v>51</v>
      </c>
      <c r="D17" s="5" t="s">
        <v>52</v>
      </c>
      <c r="E17" s="6" t="n">
        <v>59.9</v>
      </c>
      <c r="F17" s="7" t="n">
        <v>0.21</v>
      </c>
      <c r="G17" s="6" t="n">
        <f aca="false">E17/(1+F17)</f>
        <v>49.504132231405</v>
      </c>
      <c r="H17" s="6" t="n">
        <v>26</v>
      </c>
      <c r="I17" s="6" t="n">
        <f aca="false">G17-H17</f>
        <v>23.504132231405</v>
      </c>
      <c r="J17" s="7" t="n">
        <f aca="false">IF(G17=0,0,I17/G17)</f>
        <v>0.474791318864775</v>
      </c>
      <c r="K17" s="5" t="s">
        <v>15</v>
      </c>
    </row>
    <row r="18" customFormat="false" ht="15" hidden="false" customHeight="false" outlineLevel="0" collapsed="false">
      <c r="A18" s="2" t="s">
        <v>55</v>
      </c>
      <c r="B18" s="2" t="s">
        <v>56</v>
      </c>
      <c r="C18" s="2" t="s">
        <v>51</v>
      </c>
      <c r="D18" s="2" t="s">
        <v>52</v>
      </c>
      <c r="E18" s="3" t="n">
        <v>119</v>
      </c>
      <c r="F18" s="4" t="n">
        <v>0.21</v>
      </c>
      <c r="G18" s="3" t="n">
        <f aca="false">E18/(1+F18)</f>
        <v>98.3471074380165</v>
      </c>
      <c r="H18" s="3" t="n">
        <v>55</v>
      </c>
      <c r="I18" s="3" t="n">
        <f aca="false">G18-H18</f>
        <v>43.3471074380165</v>
      </c>
      <c r="J18" s="4" t="n">
        <f aca="false">IF(G18=0,0,I18/G18)</f>
        <v>0.440756302521008</v>
      </c>
      <c r="K18" s="2" t="s">
        <v>15</v>
      </c>
    </row>
    <row r="19" customFormat="false" ht="15" hidden="false" customHeight="false" outlineLevel="0" collapsed="false">
      <c r="A19" s="5" t="s">
        <v>57</v>
      </c>
      <c r="B19" s="5" t="s">
        <v>58</v>
      </c>
      <c r="C19" s="5" t="s">
        <v>59</v>
      </c>
      <c r="D19" s="5" t="s">
        <v>60</v>
      </c>
      <c r="E19" s="6" t="n">
        <v>39.9</v>
      </c>
      <c r="F19" s="7" t="n">
        <v>0.21</v>
      </c>
      <c r="G19" s="6" t="n">
        <f aca="false">E19/(1+F19)</f>
        <v>32.9752066115703</v>
      </c>
      <c r="H19" s="6" t="n">
        <v>16</v>
      </c>
      <c r="I19" s="6" t="n">
        <f aca="false">G19-H19</f>
        <v>16.9752066115703</v>
      </c>
      <c r="J19" s="7" t="n">
        <f aca="false">IF(G19=0,0,I19/G19)</f>
        <v>0.514786967418546</v>
      </c>
      <c r="K19" s="5" t="s">
        <v>15</v>
      </c>
    </row>
    <row r="20" customFormat="false" ht="15" hidden="false" customHeight="false" outlineLevel="0" collapsed="false">
      <c r="A20" s="2" t="s">
        <v>61</v>
      </c>
      <c r="B20" s="2" t="s">
        <v>62</v>
      </c>
      <c r="C20" s="2" t="s">
        <v>59</v>
      </c>
      <c r="D20" s="2" t="s">
        <v>60</v>
      </c>
      <c r="E20" s="3" t="n">
        <v>18.9</v>
      </c>
      <c r="F20" s="4" t="n">
        <v>0.21</v>
      </c>
      <c r="G20" s="3" t="n">
        <f aca="false">E20/(1+F20)</f>
        <v>15.6198347107438</v>
      </c>
      <c r="H20" s="3" t="n">
        <v>6.5</v>
      </c>
      <c r="I20" s="3" t="n">
        <f aca="false">G20-H20</f>
        <v>9.1198347107438</v>
      </c>
      <c r="J20" s="4" t="n">
        <f aca="false">IF(G20=0,0,I20/G20)</f>
        <v>0.583862433862434</v>
      </c>
      <c r="K20" s="2" t="s">
        <v>15</v>
      </c>
    </row>
    <row r="21" customFormat="false" ht="15" hidden="false" customHeight="false" outlineLevel="0" collapsed="false">
      <c r="A21" s="5" t="s">
        <v>63</v>
      </c>
      <c r="B21" s="5" t="s">
        <v>64</v>
      </c>
      <c r="C21" s="5" t="s">
        <v>65</v>
      </c>
      <c r="D21" s="5" t="s">
        <v>66</v>
      </c>
      <c r="E21" s="6" t="n">
        <v>139</v>
      </c>
      <c r="F21" s="7" t="n">
        <v>0.21</v>
      </c>
      <c r="G21" s="6" t="n">
        <f aca="false">E21/(1+F21)</f>
        <v>114.876033057851</v>
      </c>
      <c r="H21" s="6" t="n">
        <v>62</v>
      </c>
      <c r="I21" s="6" t="n">
        <f aca="false">G21-H21</f>
        <v>52.8760330578512</v>
      </c>
      <c r="J21" s="7" t="n">
        <f aca="false">IF(G21=0,0,I21/G21)</f>
        <v>0.460287769784173</v>
      </c>
      <c r="K21" s="5" t="s">
        <v>15</v>
      </c>
    </row>
    <row r="22" customFormat="false" ht="15" hidden="false" customHeight="false" outlineLevel="0" collapsed="false">
      <c r="A22" s="2" t="s">
        <v>67</v>
      </c>
      <c r="B22" s="2" t="s">
        <v>68</v>
      </c>
      <c r="C22" s="2" t="s">
        <v>65</v>
      </c>
      <c r="D22" s="2" t="s">
        <v>66</v>
      </c>
      <c r="E22" s="3" t="n">
        <v>64.9</v>
      </c>
      <c r="F22" s="4" t="n">
        <v>0.21</v>
      </c>
      <c r="G22" s="3" t="n">
        <f aca="false">E22/(1+F22)</f>
        <v>53.6363636363636</v>
      </c>
      <c r="H22" s="3" t="n">
        <v>28</v>
      </c>
      <c r="I22" s="3" t="n">
        <f aca="false">G22-H22</f>
        <v>25.6363636363636</v>
      </c>
      <c r="J22" s="4" t="n">
        <f aca="false">IF(G22=0,0,I22/G22)</f>
        <v>0.477966101694915</v>
      </c>
      <c r="K22" s="2" t="s">
        <v>15</v>
      </c>
    </row>
    <row r="23" customFormat="false" ht="15" hidden="false" customHeight="false" outlineLevel="0" collapsed="false">
      <c r="A23" s="5" t="s">
        <v>69</v>
      </c>
      <c r="B23" s="5" t="s">
        <v>70</v>
      </c>
      <c r="C23" s="5" t="s">
        <v>71</v>
      </c>
      <c r="D23" s="5" t="s">
        <v>72</v>
      </c>
      <c r="E23" s="6" t="n">
        <v>22.9</v>
      </c>
      <c r="F23" s="7" t="n">
        <v>0.21</v>
      </c>
      <c r="G23" s="6" t="n">
        <f aca="false">E23/(1+F23)</f>
        <v>18.9256198347107</v>
      </c>
      <c r="H23" s="6" t="n">
        <v>8</v>
      </c>
      <c r="I23" s="6" t="n">
        <f aca="false">G23-H23</f>
        <v>10.9256198347107</v>
      </c>
      <c r="J23" s="7" t="n">
        <f aca="false">IF(G23=0,0,I23/G23)</f>
        <v>0.577292576419214</v>
      </c>
      <c r="K23" s="5" t="s">
        <v>15</v>
      </c>
    </row>
    <row r="24" customFormat="false" ht="15" hidden="false" customHeight="false" outlineLevel="0" collapsed="false">
      <c r="A24" s="2" t="s">
        <v>73</v>
      </c>
      <c r="B24" s="2" t="s">
        <v>74</v>
      </c>
      <c r="C24" s="2" t="s">
        <v>71</v>
      </c>
      <c r="D24" s="2" t="s">
        <v>72</v>
      </c>
      <c r="E24" s="3" t="n">
        <v>69.9</v>
      </c>
      <c r="F24" s="4" t="n">
        <v>0.21</v>
      </c>
      <c r="G24" s="3" t="n">
        <f aca="false">E24/(1+F24)</f>
        <v>57.7685950413223</v>
      </c>
      <c r="H24" s="3" t="n">
        <v>29</v>
      </c>
      <c r="I24" s="3" t="n">
        <f aca="false">G24-H24</f>
        <v>28.7685950413223</v>
      </c>
      <c r="J24" s="4" t="n">
        <f aca="false">IF(G24=0,0,I24/G24)</f>
        <v>0.497997138769671</v>
      </c>
      <c r="K24" s="2" t="s">
        <v>15</v>
      </c>
    </row>
    <row r="25" customFormat="false" ht="15" hidden="false" customHeight="false" outlineLevel="0" collapsed="false">
      <c r="A25" s="5" t="s">
        <v>75</v>
      </c>
      <c r="B25" s="5" t="s">
        <v>76</v>
      </c>
      <c r="C25" s="5" t="s">
        <v>71</v>
      </c>
      <c r="D25" s="5" t="s">
        <v>72</v>
      </c>
      <c r="E25" s="6" t="n">
        <v>449</v>
      </c>
      <c r="F25" s="7" t="n">
        <v>0.21</v>
      </c>
      <c r="G25" s="6" t="n">
        <f aca="false">E25/(1+F25)</f>
        <v>371.074380165289</v>
      </c>
      <c r="H25" s="6" t="n">
        <v>360</v>
      </c>
      <c r="I25" s="6" t="n">
        <f aca="false">G25-H25</f>
        <v>11.0743801652893</v>
      </c>
      <c r="J25" s="7" t="n">
        <f aca="false">IF(G25=0,0,I25/G25)</f>
        <v>0.0298440979955457</v>
      </c>
      <c r="K25" s="5" t="s">
        <v>15</v>
      </c>
    </row>
    <row r="26" customFormat="false" ht="15" hidden="false" customHeight="false" outlineLevel="0" collapsed="false">
      <c r="A26" s="2" t="s">
        <v>77</v>
      </c>
      <c r="B26" s="2" t="s">
        <v>78</v>
      </c>
      <c r="C26" s="2" t="s">
        <v>79</v>
      </c>
      <c r="D26" s="2" t="s">
        <v>80</v>
      </c>
      <c r="E26" s="3" t="n">
        <v>59.9</v>
      </c>
      <c r="F26" s="4" t="n">
        <v>0.21</v>
      </c>
      <c r="G26" s="3" t="n">
        <f aca="false">E26/(1+F26)</f>
        <v>49.504132231405</v>
      </c>
      <c r="H26" s="3" t="n">
        <v>24</v>
      </c>
      <c r="I26" s="3" t="n">
        <f aca="false">G26-H26</f>
        <v>25.504132231405</v>
      </c>
      <c r="J26" s="4" t="n">
        <f aca="false">IF(G26=0,0,I26/G26)</f>
        <v>0.515191986644407</v>
      </c>
      <c r="K26" s="2" t="s">
        <v>15</v>
      </c>
    </row>
    <row r="27" customFormat="false" ht="15" hidden="false" customHeight="false" outlineLevel="0" collapsed="false">
      <c r="A27" s="5" t="s">
        <v>81</v>
      </c>
      <c r="B27" s="5" t="s">
        <v>82</v>
      </c>
      <c r="C27" s="5" t="s">
        <v>79</v>
      </c>
      <c r="D27" s="5" t="s">
        <v>80</v>
      </c>
      <c r="E27" s="6" t="n">
        <v>19.9</v>
      </c>
      <c r="F27" s="7" t="n">
        <v>0.21</v>
      </c>
      <c r="G27" s="6" t="n">
        <f aca="false">E27/(1+F27)</f>
        <v>16.4462809917355</v>
      </c>
      <c r="H27" s="6" t="n">
        <v>7</v>
      </c>
      <c r="I27" s="6" t="n">
        <f aca="false">G27-H27</f>
        <v>9.44628099173554</v>
      </c>
      <c r="J27" s="7" t="n">
        <f aca="false">IF(G27=0,0,I27/G27)</f>
        <v>0.574371859296482</v>
      </c>
      <c r="K27" s="5" t="s">
        <v>15</v>
      </c>
    </row>
    <row r="28" customFormat="false" ht="15" hidden="false" customHeight="false" outlineLevel="0" collapsed="false">
      <c r="A28" s="2" t="s">
        <v>83</v>
      </c>
      <c r="B28" s="2" t="s">
        <v>84</v>
      </c>
      <c r="C28" s="2" t="s">
        <v>85</v>
      </c>
      <c r="D28" s="2" t="s">
        <v>86</v>
      </c>
      <c r="E28" s="3" t="n">
        <v>3.9</v>
      </c>
      <c r="F28" s="4" t="n">
        <v>0.1</v>
      </c>
      <c r="G28" s="3" t="n">
        <f aca="false">E28/(1+F28)</f>
        <v>3.54545454545455</v>
      </c>
      <c r="H28" s="3" t="n">
        <v>2.5</v>
      </c>
      <c r="I28" s="3" t="n">
        <f aca="false">G28-H28</f>
        <v>1.04545454545455</v>
      </c>
      <c r="J28" s="4" t="n">
        <f aca="false">IF(G28=0,0,I28/G28)</f>
        <v>0.294871794871795</v>
      </c>
      <c r="K28" s="2" t="s">
        <v>15</v>
      </c>
    </row>
    <row r="29" customFormat="false" ht="15" hidden="false" customHeight="false" outlineLevel="0" collapsed="false">
      <c r="A29" s="5" t="s">
        <v>87</v>
      </c>
      <c r="B29" s="5" t="s">
        <v>88</v>
      </c>
      <c r="C29" s="5" t="s">
        <v>85</v>
      </c>
      <c r="D29" s="5" t="s">
        <v>86</v>
      </c>
      <c r="E29" s="6" t="n">
        <v>2.49</v>
      </c>
      <c r="F29" s="7" t="n">
        <v>0.1</v>
      </c>
      <c r="G29" s="6" t="n">
        <f aca="false">E29/(1+F29)</f>
        <v>2.26363636363636</v>
      </c>
      <c r="H29" s="6" t="n">
        <v>1.5</v>
      </c>
      <c r="I29" s="6" t="n">
        <f aca="false">G29-H29</f>
        <v>0.763636363636364</v>
      </c>
      <c r="J29" s="7" t="n">
        <f aca="false">IF(G29=0,0,I29/G29)</f>
        <v>0.337349397590362</v>
      </c>
      <c r="K29" s="5" t="s">
        <v>15</v>
      </c>
    </row>
    <row r="30" customFormat="false" ht="15" hidden="false" customHeight="false" outlineLevel="0" collapsed="false">
      <c r="A30" s="2" t="s">
        <v>89</v>
      </c>
      <c r="B30" s="2" t="s">
        <v>90</v>
      </c>
      <c r="C30" s="2" t="s">
        <v>91</v>
      </c>
      <c r="D30" s="2" t="s">
        <v>86</v>
      </c>
      <c r="E30" s="3" t="n">
        <v>4.99</v>
      </c>
      <c r="F30" s="4" t="n">
        <v>0.1</v>
      </c>
      <c r="G30" s="3" t="n">
        <f aca="false">E30/(1+F30)</f>
        <v>4.53636363636364</v>
      </c>
      <c r="H30" s="3" t="n">
        <v>2.3</v>
      </c>
      <c r="I30" s="3" t="n">
        <f aca="false">G30-H30</f>
        <v>2.23636363636364</v>
      </c>
      <c r="J30" s="4" t="n">
        <f aca="false">IF(G30=0,0,I30/G30)</f>
        <v>0.492985971943888</v>
      </c>
      <c r="K30" s="2" t="s">
        <v>15</v>
      </c>
    </row>
    <row r="31" customFormat="false" ht="15" hidden="false" customHeight="false" outlineLevel="0" collapsed="false">
      <c r="A31" s="5" t="s">
        <v>92</v>
      </c>
      <c r="B31" s="5" t="s">
        <v>93</v>
      </c>
      <c r="C31" s="5" t="s">
        <v>94</v>
      </c>
      <c r="D31" s="5" t="s">
        <v>95</v>
      </c>
      <c r="E31" s="6" t="n">
        <v>4.49</v>
      </c>
      <c r="F31" s="7" t="n">
        <v>0.1</v>
      </c>
      <c r="G31" s="6" t="n">
        <f aca="false">E31/(1+F31)</f>
        <v>4.08181818181818</v>
      </c>
      <c r="H31" s="6" t="n">
        <v>2.1</v>
      </c>
      <c r="I31" s="6" t="n">
        <f aca="false">G31-H31</f>
        <v>1.98181818181818</v>
      </c>
      <c r="J31" s="7" t="n">
        <f aca="false">IF(G31=0,0,I31/G31)</f>
        <v>0.485523385300668</v>
      </c>
      <c r="K31" s="5" t="s">
        <v>15</v>
      </c>
    </row>
    <row r="32" customFormat="false" ht="15" hidden="false" customHeight="false" outlineLevel="0" collapsed="false">
      <c r="A32" s="2" t="s">
        <v>96</v>
      </c>
      <c r="B32" s="2" t="s">
        <v>97</v>
      </c>
      <c r="C32" s="2" t="s">
        <v>94</v>
      </c>
      <c r="D32" s="2" t="s">
        <v>95</v>
      </c>
      <c r="E32" s="3" t="n">
        <v>7.99</v>
      </c>
      <c r="F32" s="4" t="n">
        <v>0.1</v>
      </c>
      <c r="G32" s="3" t="n">
        <f aca="false">E32/(1+F32)</f>
        <v>7.26363636363636</v>
      </c>
      <c r="H32" s="3" t="n">
        <v>3.4</v>
      </c>
      <c r="I32" s="3" t="n">
        <f aca="false">G32-H32</f>
        <v>3.86363636363636</v>
      </c>
      <c r="J32" s="4" t="n">
        <f aca="false">IF(G32=0,0,I32/G32)</f>
        <v>0.531914893617021</v>
      </c>
      <c r="K32" s="2" t="s">
        <v>15</v>
      </c>
    </row>
    <row r="33" customFormat="false" ht="15" hidden="false" customHeight="false" outlineLevel="0" collapsed="false">
      <c r="A33" s="5" t="s">
        <v>98</v>
      </c>
      <c r="B33" s="5" t="s">
        <v>99</v>
      </c>
      <c r="C33" s="5" t="s">
        <v>94</v>
      </c>
      <c r="D33" s="5" t="s">
        <v>95</v>
      </c>
      <c r="E33" s="6" t="n">
        <v>2.99</v>
      </c>
      <c r="F33" s="7" t="n">
        <v>0.1</v>
      </c>
      <c r="G33" s="6" t="n">
        <f aca="false">E33/(1+F33)</f>
        <v>2.71818181818182</v>
      </c>
      <c r="H33" s="6" t="n">
        <v>1.2</v>
      </c>
      <c r="I33" s="6" t="n">
        <f aca="false">G33-H33</f>
        <v>1.51818181818182</v>
      </c>
      <c r="J33" s="7" t="n">
        <f aca="false">IF(G33=0,0,I33/G33)</f>
        <v>0.558528428093646</v>
      </c>
      <c r="K33" s="5" t="s">
        <v>15</v>
      </c>
    </row>
  </sheetData>
  <autoFilter ref="A1:K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24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9"/>
    <col collapsed="false" customWidth="true" hidden="false" outlineLevel="0" max="23" min="23" style="0" width="14"/>
    <col collapsed="false" customWidth="true" hidden="false" outlineLevel="0" max="24" min="24" style="0" width="17"/>
    <col collapsed="false" customWidth="true" hidden="false" outlineLevel="0" max="25" min="25" style="0" width="9"/>
    <col collapsed="false" customWidth="true" hidden="false" outlineLevel="0" max="26" min="26" style="0" width="8"/>
  </cols>
  <sheetData>
    <row r="1" customFormat="false" ht="30" hidden="false" customHeight="true" outlineLevel="0" collapsed="false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9</v>
      </c>
      <c r="W1" s="1" t="s">
        <v>121</v>
      </c>
      <c r="X1" s="1" t="s">
        <v>122</v>
      </c>
      <c r="Y1" s="1" t="s">
        <v>123</v>
      </c>
      <c r="Z1" s="1" t="s">
        <v>124</v>
      </c>
    </row>
    <row r="2" customFormat="false" ht="15" hidden="false" customHeight="false" outlineLevel="0" collapsed="false">
      <c r="A2" s="2" t="s">
        <v>125</v>
      </c>
      <c r="B2" s="8" t="n">
        <v>45839.8541666667</v>
      </c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2" t="s">
        <v>132</v>
      </c>
      <c r="J2" s="2" t="s">
        <v>133</v>
      </c>
      <c r="K2" s="2"/>
      <c r="L2" s="3" t="n">
        <v>0</v>
      </c>
      <c r="M2" s="3" t="n">
        <v>2.69</v>
      </c>
      <c r="N2" s="3" t="n">
        <v>175.99</v>
      </c>
      <c r="O2" s="3" t="n">
        <v>0</v>
      </c>
      <c r="P2" s="3" t="n">
        <v>149.68</v>
      </c>
      <c r="Q2" s="3" t="n">
        <v>26.31</v>
      </c>
      <c r="R2" s="3" t="n">
        <f aca="false">P2+Q2</f>
        <v>175.99</v>
      </c>
      <c r="S2" s="3" t="n">
        <v>0</v>
      </c>
      <c r="T2" s="3" t="n">
        <v>77.2</v>
      </c>
      <c r="U2" s="3" t="n">
        <v>72.48</v>
      </c>
      <c r="V2" s="4" t="n">
        <f aca="false">IF(P2-(O2/1.21)=0,0,U2/(P2-(O2/1.21)))</f>
        <v>0.484233030464992</v>
      </c>
      <c r="W2" s="2" t="s">
        <v>134</v>
      </c>
      <c r="X2" s="2" t="s">
        <v>135</v>
      </c>
      <c r="Y2" s="2" t="s">
        <v>136</v>
      </c>
      <c r="Z2" s="9" t="n">
        <v>3</v>
      </c>
    </row>
    <row r="3" customFormat="false" ht="15" hidden="false" customHeight="false" outlineLevel="0" collapsed="false">
      <c r="A3" s="5" t="s">
        <v>137</v>
      </c>
      <c r="B3" s="10" t="n">
        <v>45841.65625</v>
      </c>
      <c r="C3" s="5" t="s">
        <v>138</v>
      </c>
      <c r="D3" s="5" t="s">
        <v>139</v>
      </c>
      <c r="E3" s="5" t="s">
        <v>140</v>
      </c>
      <c r="F3" s="5" t="s">
        <v>141</v>
      </c>
      <c r="G3" s="5" t="s">
        <v>142</v>
      </c>
      <c r="H3" s="5" t="s">
        <v>143</v>
      </c>
      <c r="I3" s="5" t="s">
        <v>132</v>
      </c>
      <c r="J3" s="5" t="s">
        <v>133</v>
      </c>
      <c r="K3" s="5" t="s">
        <v>144</v>
      </c>
      <c r="L3" s="6" t="n">
        <v>90.83</v>
      </c>
      <c r="M3" s="6" t="n">
        <v>9.74</v>
      </c>
      <c r="N3" s="6" t="n">
        <v>454.16</v>
      </c>
      <c r="O3" s="6" t="n">
        <v>9.95</v>
      </c>
      <c r="P3" s="6" t="n">
        <v>308.49</v>
      </c>
      <c r="Q3" s="6" t="n">
        <v>64.79</v>
      </c>
      <c r="R3" s="6" t="n">
        <f aca="false">P3+Q3</f>
        <v>373.28</v>
      </c>
      <c r="S3" s="6" t="n">
        <v>0</v>
      </c>
      <c r="T3" s="6" t="n">
        <v>293</v>
      </c>
      <c r="U3" s="6" t="n">
        <v>7.27</v>
      </c>
      <c r="V3" s="7" t="n">
        <f aca="false">IF(P3-(O3/1.21)=0,0,U3/(P3-(O3/1.21)))</f>
        <v>0.0242117961735965</v>
      </c>
      <c r="W3" s="5" t="s">
        <v>145</v>
      </c>
      <c r="X3" s="5" t="s">
        <v>146</v>
      </c>
      <c r="Y3" s="5" t="s">
        <v>136</v>
      </c>
      <c r="Z3" s="11" t="n">
        <v>2</v>
      </c>
    </row>
    <row r="4" customFormat="false" ht="15" hidden="false" customHeight="false" outlineLevel="0" collapsed="false">
      <c r="A4" s="2" t="s">
        <v>147</v>
      </c>
      <c r="B4" s="8" t="n">
        <v>45842.5416666667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131</v>
      </c>
      <c r="I4" s="2" t="s">
        <v>132</v>
      </c>
      <c r="J4" s="2" t="s">
        <v>133</v>
      </c>
      <c r="K4" s="2"/>
      <c r="L4" s="3" t="n">
        <v>0</v>
      </c>
      <c r="M4" s="3" t="n">
        <v>0</v>
      </c>
      <c r="N4" s="3" t="n">
        <v>15.98</v>
      </c>
      <c r="O4" s="3" t="n">
        <v>0</v>
      </c>
      <c r="P4" s="3" t="n">
        <v>14.53</v>
      </c>
      <c r="Q4" s="3" t="n">
        <v>1.45</v>
      </c>
      <c r="R4" s="3" t="n">
        <f aca="false">P4+Q4</f>
        <v>15.98</v>
      </c>
      <c r="S4" s="3" t="n">
        <v>0</v>
      </c>
      <c r="T4" s="3" t="n">
        <v>6.8</v>
      </c>
      <c r="U4" s="3" t="n">
        <v>7.73</v>
      </c>
      <c r="V4" s="4" t="n">
        <f aca="false">IF(P4-(O4/1.21)=0,0,U4/(P4-(O4/1.21)))</f>
        <v>0.532002752924983</v>
      </c>
      <c r="W4" s="2" t="s">
        <v>153</v>
      </c>
      <c r="X4" s="2" t="s">
        <v>135</v>
      </c>
      <c r="Y4" s="2" t="s">
        <v>154</v>
      </c>
      <c r="Z4" s="9" t="n">
        <v>1</v>
      </c>
    </row>
    <row r="5" customFormat="false" ht="15" hidden="false" customHeight="false" outlineLevel="0" collapsed="false">
      <c r="A5" s="5" t="s">
        <v>155</v>
      </c>
      <c r="B5" s="10" t="n">
        <v>45842.5833333333</v>
      </c>
      <c r="C5" s="5" t="s">
        <v>126</v>
      </c>
      <c r="D5" s="5" t="s">
        <v>139</v>
      </c>
      <c r="E5" s="5" t="s">
        <v>140</v>
      </c>
      <c r="F5" s="5" t="s">
        <v>141</v>
      </c>
      <c r="G5" s="5" t="s">
        <v>142</v>
      </c>
      <c r="H5" s="5" t="s">
        <v>143</v>
      </c>
      <c r="I5" s="5" t="s">
        <v>132</v>
      </c>
      <c r="J5" s="5" t="s">
        <v>133</v>
      </c>
      <c r="K5" s="5"/>
      <c r="L5" s="6" t="n">
        <v>0</v>
      </c>
      <c r="M5" s="6" t="n">
        <v>13.48</v>
      </c>
      <c r="N5" s="6" t="n">
        <v>84.41</v>
      </c>
      <c r="O5" s="6" t="n">
        <v>0</v>
      </c>
      <c r="P5" s="6" t="n">
        <v>70.42</v>
      </c>
      <c r="Q5" s="6" t="n">
        <v>13.99</v>
      </c>
      <c r="R5" s="6" t="n">
        <f aca="false">P5+Q5</f>
        <v>84.41</v>
      </c>
      <c r="S5" s="6" t="n">
        <v>0</v>
      </c>
      <c r="T5" s="6" t="n">
        <v>51.4</v>
      </c>
      <c r="U5" s="6" t="n">
        <v>19.02</v>
      </c>
      <c r="V5" s="7" t="n">
        <f aca="false">IF(P5-(O5/1.21)=0,0,U5/(P5-(O5/1.21)))</f>
        <v>0.270093723374041</v>
      </c>
      <c r="W5" s="5" t="s">
        <v>134</v>
      </c>
      <c r="X5" s="5" t="s">
        <v>135</v>
      </c>
      <c r="Y5" s="5" t="s">
        <v>156</v>
      </c>
      <c r="Z5" s="11" t="n">
        <v>2</v>
      </c>
    </row>
    <row r="6" customFormat="false" ht="15" hidden="false" customHeight="false" outlineLevel="0" collapsed="false">
      <c r="A6" s="2" t="s">
        <v>157</v>
      </c>
      <c r="B6" s="8" t="n">
        <v>45846.375</v>
      </c>
      <c r="C6" s="2" t="s">
        <v>126</v>
      </c>
      <c r="D6" s="2" t="s">
        <v>158</v>
      </c>
      <c r="E6" s="2" t="s">
        <v>159</v>
      </c>
      <c r="F6" s="2" t="s">
        <v>160</v>
      </c>
      <c r="G6" s="2" t="s">
        <v>161</v>
      </c>
      <c r="H6" s="2" t="s">
        <v>131</v>
      </c>
      <c r="I6" s="2" t="s">
        <v>132</v>
      </c>
      <c r="J6" s="2" t="s">
        <v>133</v>
      </c>
      <c r="K6" s="2"/>
      <c r="L6" s="3" t="n">
        <v>0</v>
      </c>
      <c r="M6" s="3" t="n">
        <v>4.5</v>
      </c>
      <c r="N6" s="3" t="n">
        <v>85.4</v>
      </c>
      <c r="O6" s="3" t="n">
        <v>0</v>
      </c>
      <c r="P6" s="3" t="n">
        <v>70.58</v>
      </c>
      <c r="Q6" s="3" t="n">
        <v>14.82</v>
      </c>
      <c r="R6" s="3" t="n">
        <f aca="false">P6+Q6</f>
        <v>85.4</v>
      </c>
      <c r="S6" s="3" t="n">
        <v>0</v>
      </c>
      <c r="T6" s="3" t="n">
        <v>48</v>
      </c>
      <c r="U6" s="3" t="n">
        <v>22.58</v>
      </c>
      <c r="V6" s="4" t="n">
        <f aca="false">IF(P6-(O6/1.21)=0,0,U6/(P6-(O6/1.21)))</f>
        <v>0.319920657410031</v>
      </c>
      <c r="W6" s="2" t="s">
        <v>162</v>
      </c>
      <c r="X6" s="2" t="s">
        <v>135</v>
      </c>
      <c r="Y6" s="2" t="s">
        <v>156</v>
      </c>
      <c r="Z6" s="9" t="n">
        <v>1</v>
      </c>
    </row>
    <row r="7" customFormat="false" ht="15" hidden="false" customHeight="false" outlineLevel="0" collapsed="false">
      <c r="A7" s="5" t="s">
        <v>163</v>
      </c>
      <c r="B7" s="10" t="n">
        <v>45848.6770833333</v>
      </c>
      <c r="C7" s="5" t="s">
        <v>126</v>
      </c>
      <c r="D7" s="5" t="s">
        <v>164</v>
      </c>
      <c r="E7" s="5" t="s">
        <v>165</v>
      </c>
      <c r="F7" s="5" t="s">
        <v>166</v>
      </c>
      <c r="G7" s="5" t="s">
        <v>167</v>
      </c>
      <c r="H7" s="5" t="s">
        <v>131</v>
      </c>
      <c r="I7" s="5" t="s">
        <v>132</v>
      </c>
      <c r="J7" s="5" t="s">
        <v>133</v>
      </c>
      <c r="K7" s="5" t="s">
        <v>168</v>
      </c>
      <c r="L7" s="6" t="n">
        <v>53.92</v>
      </c>
      <c r="M7" s="6" t="n">
        <v>0</v>
      </c>
      <c r="N7" s="6" t="n">
        <v>359.5</v>
      </c>
      <c r="O7" s="6" t="n">
        <v>4.95</v>
      </c>
      <c r="P7" s="6" t="n">
        <v>256.64</v>
      </c>
      <c r="Q7" s="6" t="n">
        <v>53.89</v>
      </c>
      <c r="R7" s="6" t="n">
        <f aca="false">P7+Q7</f>
        <v>310.53</v>
      </c>
      <c r="S7" s="6" t="n">
        <v>0</v>
      </c>
      <c r="T7" s="6" t="n">
        <v>155</v>
      </c>
      <c r="U7" s="6" t="n">
        <v>97.55</v>
      </c>
      <c r="V7" s="7" t="n">
        <f aca="false">IF(P7-(O7/1.21)=0,0,U7/(P7-(O7/1.21)))</f>
        <v>0.386261536910916</v>
      </c>
      <c r="W7" s="5" t="s">
        <v>169</v>
      </c>
      <c r="X7" s="5" t="s">
        <v>170</v>
      </c>
      <c r="Y7" s="5" t="s">
        <v>136</v>
      </c>
      <c r="Z7" s="11" t="n">
        <v>2</v>
      </c>
    </row>
    <row r="8" customFormat="false" ht="15" hidden="false" customHeight="false" outlineLevel="0" collapsed="false">
      <c r="A8" s="2" t="s">
        <v>171</v>
      </c>
      <c r="B8" s="8" t="n">
        <v>45850.6979166667</v>
      </c>
      <c r="C8" s="2" t="s">
        <v>172</v>
      </c>
      <c r="D8" s="2" t="s">
        <v>173</v>
      </c>
      <c r="E8" s="2" t="s">
        <v>174</v>
      </c>
      <c r="F8" s="2" t="s">
        <v>175</v>
      </c>
      <c r="G8" s="2" t="s">
        <v>161</v>
      </c>
      <c r="H8" s="2" t="s">
        <v>131</v>
      </c>
      <c r="I8" s="2" t="s">
        <v>176</v>
      </c>
      <c r="J8" s="2" t="s">
        <v>133</v>
      </c>
      <c r="K8" s="2" t="s">
        <v>144</v>
      </c>
      <c r="L8" s="3" t="n">
        <v>2.29</v>
      </c>
      <c r="M8" s="3" t="n">
        <v>2.02</v>
      </c>
      <c r="N8" s="3" t="n">
        <v>11.45</v>
      </c>
      <c r="O8" s="3" t="n">
        <v>4.95</v>
      </c>
      <c r="P8" s="3" t="n">
        <v>12.42</v>
      </c>
      <c r="Q8" s="3" t="n">
        <v>1.69</v>
      </c>
      <c r="R8" s="3" t="n">
        <f aca="false">P8+Q8</f>
        <v>14.11</v>
      </c>
      <c r="S8" s="3" t="n">
        <v>9.16</v>
      </c>
      <c r="T8" s="3" t="n">
        <v>6.3</v>
      </c>
      <c r="U8" s="3" t="n">
        <v>2.03</v>
      </c>
      <c r="V8" s="4" t="n">
        <f aca="false">IF(P8-(O8/1.21)=0,0,U8/(P8-(O8/1.21)))</f>
        <v>0.24372407771229</v>
      </c>
      <c r="W8" s="2" t="s">
        <v>145</v>
      </c>
      <c r="X8" s="2" t="s">
        <v>170</v>
      </c>
      <c r="Y8" s="2" t="s">
        <v>177</v>
      </c>
      <c r="Z8" s="9" t="n">
        <v>1</v>
      </c>
    </row>
    <row r="9" customFormat="false" ht="15" hidden="false" customHeight="false" outlineLevel="0" collapsed="false">
      <c r="A9" s="5" t="s">
        <v>178</v>
      </c>
      <c r="B9" s="10" t="n">
        <v>45851.5625</v>
      </c>
      <c r="C9" s="5" t="s">
        <v>126</v>
      </c>
      <c r="D9" s="5" t="s">
        <v>179</v>
      </c>
      <c r="E9" s="5" t="s">
        <v>180</v>
      </c>
      <c r="F9" s="5" t="s">
        <v>181</v>
      </c>
      <c r="G9" s="5" t="s">
        <v>182</v>
      </c>
      <c r="H9" s="5" t="s">
        <v>131</v>
      </c>
      <c r="I9" s="5" t="s">
        <v>132</v>
      </c>
      <c r="J9" s="5" t="s">
        <v>133</v>
      </c>
      <c r="K9" s="5"/>
      <c r="L9" s="6" t="n">
        <v>0</v>
      </c>
      <c r="M9" s="6" t="n">
        <v>0</v>
      </c>
      <c r="N9" s="6" t="n">
        <v>179.8</v>
      </c>
      <c r="O9" s="6" t="n">
        <v>0</v>
      </c>
      <c r="P9" s="6" t="n">
        <v>148.6</v>
      </c>
      <c r="Q9" s="6" t="n">
        <v>31.2</v>
      </c>
      <c r="R9" s="6" t="n">
        <f aca="false">P9+Q9</f>
        <v>179.8</v>
      </c>
      <c r="S9" s="6" t="n">
        <v>0</v>
      </c>
      <c r="T9" s="6" t="n">
        <v>77</v>
      </c>
      <c r="U9" s="6" t="n">
        <v>71.6</v>
      </c>
      <c r="V9" s="7" t="n">
        <f aca="false">IF(P9-(O9/1.21)=0,0,U9/(P9-(O9/1.21)))</f>
        <v>0.481830417227456</v>
      </c>
      <c r="W9" s="5" t="s">
        <v>134</v>
      </c>
      <c r="X9" s="5" t="s">
        <v>135</v>
      </c>
      <c r="Y9" s="5" t="s">
        <v>156</v>
      </c>
      <c r="Z9" s="11" t="n">
        <v>1</v>
      </c>
    </row>
    <row r="10" customFormat="false" ht="15" hidden="false" customHeight="false" outlineLevel="0" collapsed="false">
      <c r="A10" s="2" t="s">
        <v>183</v>
      </c>
      <c r="B10" s="8" t="n">
        <v>45853.40625</v>
      </c>
      <c r="C10" s="2" t="s">
        <v>148</v>
      </c>
      <c r="D10" s="2" t="s">
        <v>158</v>
      </c>
      <c r="E10" s="2" t="s">
        <v>159</v>
      </c>
      <c r="F10" s="2" t="s">
        <v>160</v>
      </c>
      <c r="G10" s="2" t="s">
        <v>161</v>
      </c>
      <c r="H10" s="2" t="s">
        <v>131</v>
      </c>
      <c r="I10" s="2" t="s">
        <v>132</v>
      </c>
      <c r="J10" s="2" t="s">
        <v>133</v>
      </c>
      <c r="K10" s="2"/>
      <c r="L10" s="3" t="n">
        <v>0</v>
      </c>
      <c r="M10" s="3" t="n">
        <v>0</v>
      </c>
      <c r="N10" s="3" t="n">
        <v>868.9</v>
      </c>
      <c r="O10" s="3" t="n">
        <v>0</v>
      </c>
      <c r="P10" s="3" t="n">
        <v>718.1</v>
      </c>
      <c r="Q10" s="3" t="n">
        <v>150.8</v>
      </c>
      <c r="R10" s="3" t="n">
        <f aca="false">P10+Q10</f>
        <v>868.9</v>
      </c>
      <c r="S10" s="3" t="n">
        <v>0</v>
      </c>
      <c r="T10" s="3" t="n">
        <v>579</v>
      </c>
      <c r="U10" s="3" t="n">
        <v>139.1</v>
      </c>
      <c r="V10" s="4" t="n">
        <f aca="false">IF(P10-(O10/1.21)=0,0,U10/(P10-(O10/1.21)))</f>
        <v>0.19370561203175</v>
      </c>
      <c r="W10" s="2" t="s">
        <v>145</v>
      </c>
      <c r="X10" s="2" t="s">
        <v>135</v>
      </c>
      <c r="Y10" s="2" t="s">
        <v>156</v>
      </c>
      <c r="Z10" s="9" t="n">
        <v>2</v>
      </c>
    </row>
    <row r="11" customFormat="false" ht="15" hidden="false" customHeight="false" outlineLevel="0" collapsed="false">
      <c r="A11" s="5" t="s">
        <v>184</v>
      </c>
      <c r="B11" s="10" t="n">
        <v>45856.7291666667</v>
      </c>
      <c r="C11" s="5" t="s">
        <v>126</v>
      </c>
      <c r="D11" s="5" t="s">
        <v>127</v>
      </c>
      <c r="E11" s="5" t="s">
        <v>128</v>
      </c>
      <c r="F11" s="5" t="s">
        <v>129</v>
      </c>
      <c r="G11" s="5" t="s">
        <v>130</v>
      </c>
      <c r="H11" s="5" t="s">
        <v>131</v>
      </c>
      <c r="I11" s="5" t="s">
        <v>185</v>
      </c>
      <c r="J11" s="5" t="s">
        <v>185</v>
      </c>
      <c r="K11" s="5" t="s">
        <v>186</v>
      </c>
      <c r="L11" s="6" t="n">
        <v>0</v>
      </c>
      <c r="M11" s="6" t="n">
        <v>10.59</v>
      </c>
      <c r="N11" s="6" t="n">
        <v>82.01</v>
      </c>
      <c r="O11" s="6" t="n">
        <v>0</v>
      </c>
      <c r="P11" s="6" t="n">
        <v>67.78</v>
      </c>
      <c r="Q11" s="6" t="n">
        <v>14.23</v>
      </c>
      <c r="R11" s="6" t="n">
        <f aca="false">P11+Q11</f>
        <v>82.01</v>
      </c>
      <c r="S11" s="6" t="n">
        <v>0</v>
      </c>
      <c r="T11" s="6" t="n">
        <v>32.1</v>
      </c>
      <c r="U11" s="6" t="n">
        <v>35.68</v>
      </c>
      <c r="V11" s="7" t="n">
        <f aca="false">IF(P11-(O11/1.21)=0,0,U11/(P11-(O11/1.21)))</f>
        <v>0.526408970197698</v>
      </c>
      <c r="W11" s="5" t="s">
        <v>145</v>
      </c>
      <c r="X11" s="5" t="s">
        <v>170</v>
      </c>
      <c r="Y11" s="5" t="s">
        <v>156</v>
      </c>
      <c r="Z11" s="11" t="n">
        <v>3</v>
      </c>
    </row>
    <row r="12" customFormat="false" ht="15" hidden="false" customHeight="false" outlineLevel="0" collapsed="false">
      <c r="A12" s="2" t="s">
        <v>187</v>
      </c>
      <c r="B12" s="8" t="n">
        <v>45860.59375</v>
      </c>
      <c r="C12" s="2" t="s">
        <v>138</v>
      </c>
      <c r="D12" s="2" t="s">
        <v>188</v>
      </c>
      <c r="E12" s="2" t="s">
        <v>189</v>
      </c>
      <c r="F12" s="2" t="s">
        <v>190</v>
      </c>
      <c r="G12" s="2" t="s">
        <v>191</v>
      </c>
      <c r="H12" s="2" t="s">
        <v>131</v>
      </c>
      <c r="I12" s="2" t="s">
        <v>132</v>
      </c>
      <c r="J12" s="2" t="s">
        <v>133</v>
      </c>
      <c r="K12" s="2" t="s">
        <v>186</v>
      </c>
      <c r="L12" s="3" t="n">
        <v>0</v>
      </c>
      <c r="M12" s="3" t="n">
        <v>0</v>
      </c>
      <c r="N12" s="3" t="n">
        <v>319.6</v>
      </c>
      <c r="O12" s="3" t="n">
        <v>0</v>
      </c>
      <c r="P12" s="3" t="n">
        <v>264.13</v>
      </c>
      <c r="Q12" s="3" t="n">
        <v>55.47</v>
      </c>
      <c r="R12" s="3" t="n">
        <f aca="false">P12+Q12</f>
        <v>319.6</v>
      </c>
      <c r="S12" s="3" t="n">
        <v>0</v>
      </c>
      <c r="T12" s="3" t="n">
        <v>136</v>
      </c>
      <c r="U12" s="3" t="n">
        <v>128.13</v>
      </c>
      <c r="V12" s="4" t="n">
        <f aca="false">IF(P12-(O12/1.21)=0,0,U12/(P12-(O12/1.21)))</f>
        <v>0.485102033089766</v>
      </c>
      <c r="W12" s="2" t="s">
        <v>134</v>
      </c>
      <c r="X12" s="2" t="s">
        <v>146</v>
      </c>
      <c r="Y12" s="2" t="s">
        <v>154</v>
      </c>
      <c r="Z12" s="9" t="n">
        <v>1</v>
      </c>
    </row>
    <row r="13" customFormat="false" ht="15" hidden="false" customHeight="false" outlineLevel="0" collapsed="false">
      <c r="A13" s="5" t="s">
        <v>192</v>
      </c>
      <c r="B13" s="10" t="n">
        <v>45862.5833333333</v>
      </c>
      <c r="C13" s="5" t="s">
        <v>193</v>
      </c>
      <c r="D13" s="5" t="s">
        <v>158</v>
      </c>
      <c r="E13" s="5" t="s">
        <v>159</v>
      </c>
      <c r="F13" s="5" t="s">
        <v>160</v>
      </c>
      <c r="G13" s="5" t="s">
        <v>161</v>
      </c>
      <c r="H13" s="5" t="s">
        <v>131</v>
      </c>
      <c r="I13" s="5" t="s">
        <v>132</v>
      </c>
      <c r="J13" s="5" t="s">
        <v>133</v>
      </c>
      <c r="K13" s="5"/>
      <c r="L13" s="6" t="n">
        <v>0</v>
      </c>
      <c r="M13" s="6" t="n">
        <v>0</v>
      </c>
      <c r="N13" s="6" t="n">
        <v>239.7</v>
      </c>
      <c r="O13" s="6" t="n">
        <v>0</v>
      </c>
      <c r="P13" s="6" t="n">
        <v>198.1</v>
      </c>
      <c r="Q13" s="6" t="n">
        <v>41.6</v>
      </c>
      <c r="R13" s="6" t="n">
        <f aca="false">P13+Q13</f>
        <v>239.7</v>
      </c>
      <c r="S13" s="6" t="n">
        <v>0</v>
      </c>
      <c r="T13" s="6" t="n">
        <v>122</v>
      </c>
      <c r="U13" s="6" t="n">
        <v>76.1</v>
      </c>
      <c r="V13" s="7" t="n">
        <f aca="false">IF(P13-(O13/1.21)=0,0,U13/(P13-(O13/1.21)))</f>
        <v>0.384149419485109</v>
      </c>
      <c r="W13" s="5" t="s">
        <v>169</v>
      </c>
      <c r="X13" s="5" t="s">
        <v>135</v>
      </c>
      <c r="Y13" s="5" t="s">
        <v>136</v>
      </c>
      <c r="Z13" s="11" t="n">
        <v>2</v>
      </c>
    </row>
    <row r="14" customFormat="false" ht="15" hidden="false" customHeight="false" outlineLevel="0" collapsed="false">
      <c r="A14" s="2" t="s">
        <v>194</v>
      </c>
      <c r="B14" s="8" t="n">
        <v>45862.7083333333</v>
      </c>
      <c r="C14" s="2" t="s">
        <v>126</v>
      </c>
      <c r="D14" s="2" t="s">
        <v>179</v>
      </c>
      <c r="E14" s="2" t="s">
        <v>180</v>
      </c>
      <c r="F14" s="2" t="s">
        <v>181</v>
      </c>
      <c r="G14" s="2" t="s">
        <v>182</v>
      </c>
      <c r="H14" s="2" t="s">
        <v>131</v>
      </c>
      <c r="I14" s="2" t="s">
        <v>132</v>
      </c>
      <c r="J14" s="2" t="s">
        <v>133</v>
      </c>
      <c r="K14" s="2" t="s">
        <v>144</v>
      </c>
      <c r="L14" s="3" t="n">
        <v>19.18</v>
      </c>
      <c r="M14" s="3" t="n">
        <v>0</v>
      </c>
      <c r="N14" s="3" t="n">
        <v>95.88</v>
      </c>
      <c r="O14" s="3" t="n">
        <v>0</v>
      </c>
      <c r="P14" s="3" t="n">
        <v>69.73</v>
      </c>
      <c r="Q14" s="3" t="n">
        <v>6.97</v>
      </c>
      <c r="R14" s="3" t="n">
        <f aca="false">P14+Q14</f>
        <v>76.7</v>
      </c>
      <c r="S14" s="3" t="n">
        <v>0</v>
      </c>
      <c r="T14" s="3" t="n">
        <v>40.8</v>
      </c>
      <c r="U14" s="3" t="n">
        <v>28.93</v>
      </c>
      <c r="V14" s="4" t="n">
        <f aca="false">IF(P14-(O14/1.21)=0,0,U14/(P14-(O14/1.21)))</f>
        <v>0.414885988813997</v>
      </c>
      <c r="W14" s="2" t="s">
        <v>134</v>
      </c>
      <c r="X14" s="2" t="s">
        <v>135</v>
      </c>
      <c r="Y14" s="2" t="s">
        <v>136</v>
      </c>
      <c r="Z14" s="9" t="n">
        <v>1</v>
      </c>
    </row>
    <row r="15" customFormat="false" ht="15" hidden="false" customHeight="false" outlineLevel="0" collapsed="false">
      <c r="A15" s="5" t="s">
        <v>195</v>
      </c>
      <c r="B15" s="10" t="n">
        <v>45863.90625</v>
      </c>
      <c r="C15" s="5" t="s">
        <v>148</v>
      </c>
      <c r="D15" s="5" t="s">
        <v>149</v>
      </c>
      <c r="E15" s="5" t="s">
        <v>150</v>
      </c>
      <c r="F15" s="5" t="s">
        <v>151</v>
      </c>
      <c r="G15" s="5" t="s">
        <v>152</v>
      </c>
      <c r="H15" s="5" t="s">
        <v>131</v>
      </c>
      <c r="I15" s="5" t="s">
        <v>132</v>
      </c>
      <c r="J15" s="5" t="s">
        <v>133</v>
      </c>
      <c r="K15" s="5"/>
      <c r="L15" s="6" t="n">
        <v>0</v>
      </c>
      <c r="M15" s="6" t="n">
        <v>0</v>
      </c>
      <c r="N15" s="6" t="n">
        <v>119.8</v>
      </c>
      <c r="O15" s="6" t="n">
        <v>9.95</v>
      </c>
      <c r="P15" s="6" t="n">
        <v>107.23</v>
      </c>
      <c r="Q15" s="6" t="n">
        <v>22.52</v>
      </c>
      <c r="R15" s="6" t="n">
        <f aca="false">P15+Q15</f>
        <v>129.75</v>
      </c>
      <c r="S15" s="6" t="n">
        <v>0</v>
      </c>
      <c r="T15" s="6" t="n">
        <v>48</v>
      </c>
      <c r="U15" s="6" t="n">
        <v>51.01</v>
      </c>
      <c r="V15" s="7" t="n">
        <f aca="false">IF(P15-(O15/1.21)=0,0,U15/(P15-(O15/1.21)))</f>
        <v>0.515216826949965</v>
      </c>
      <c r="W15" s="5" t="s">
        <v>134</v>
      </c>
      <c r="X15" s="5" t="s">
        <v>146</v>
      </c>
      <c r="Y15" s="5" t="s">
        <v>136</v>
      </c>
      <c r="Z15" s="11" t="n">
        <v>1</v>
      </c>
    </row>
    <row r="16" customFormat="false" ht="15" hidden="false" customHeight="false" outlineLevel="0" collapsed="false">
      <c r="A16" s="2" t="s">
        <v>196</v>
      </c>
      <c r="B16" s="8" t="n">
        <v>45864.78125</v>
      </c>
      <c r="C16" s="2" t="s">
        <v>138</v>
      </c>
      <c r="D16" s="2" t="s">
        <v>173</v>
      </c>
      <c r="E16" s="2" t="s">
        <v>174</v>
      </c>
      <c r="F16" s="2" t="s">
        <v>175</v>
      </c>
      <c r="G16" s="2" t="s">
        <v>161</v>
      </c>
      <c r="H16" s="2" t="s">
        <v>131</v>
      </c>
      <c r="I16" s="2" t="s">
        <v>132</v>
      </c>
      <c r="J16" s="2" t="s">
        <v>133</v>
      </c>
      <c r="K16" s="2" t="s">
        <v>168</v>
      </c>
      <c r="L16" s="3" t="n">
        <v>103.17</v>
      </c>
      <c r="M16" s="3" t="n">
        <v>0</v>
      </c>
      <c r="N16" s="3" t="n">
        <v>687.82</v>
      </c>
      <c r="O16" s="3" t="n">
        <v>4.95</v>
      </c>
      <c r="P16" s="3" t="n">
        <v>490.99</v>
      </c>
      <c r="Q16" s="3" t="n">
        <v>98.61</v>
      </c>
      <c r="R16" s="3" t="n">
        <f aca="false">P16+Q16</f>
        <v>589.6</v>
      </c>
      <c r="S16" s="3" t="n">
        <v>0</v>
      </c>
      <c r="T16" s="3" t="n">
        <v>313.2</v>
      </c>
      <c r="U16" s="3" t="n">
        <v>173.7</v>
      </c>
      <c r="V16" s="4" t="n">
        <f aca="false">IF(P16-(O16/1.21)=0,0,U16/(P16-(O16/1.21)))</f>
        <v>0.356747431332608</v>
      </c>
      <c r="W16" s="2" t="s">
        <v>162</v>
      </c>
      <c r="X16" s="2" t="s">
        <v>170</v>
      </c>
      <c r="Y16" s="2" t="s">
        <v>154</v>
      </c>
      <c r="Z16" s="9" t="n">
        <v>5</v>
      </c>
    </row>
    <row r="17" customFormat="false" ht="15" hidden="false" customHeight="false" outlineLevel="0" collapsed="false">
      <c r="A17" s="5" t="s">
        <v>197</v>
      </c>
      <c r="B17" s="10" t="n">
        <v>45867.53125</v>
      </c>
      <c r="C17" s="5" t="s">
        <v>148</v>
      </c>
      <c r="D17" s="5" t="s">
        <v>158</v>
      </c>
      <c r="E17" s="5" t="s">
        <v>159</v>
      </c>
      <c r="F17" s="5" t="s">
        <v>160</v>
      </c>
      <c r="G17" s="5" t="s">
        <v>161</v>
      </c>
      <c r="H17" s="5" t="s">
        <v>131</v>
      </c>
      <c r="I17" s="5" t="s">
        <v>132</v>
      </c>
      <c r="J17" s="5" t="s">
        <v>133</v>
      </c>
      <c r="K17" s="5"/>
      <c r="L17" s="6" t="n">
        <v>0</v>
      </c>
      <c r="M17" s="6" t="n">
        <v>0</v>
      </c>
      <c r="N17" s="6" t="n">
        <v>4.99</v>
      </c>
      <c r="O17" s="6" t="n">
        <v>0</v>
      </c>
      <c r="P17" s="6" t="n">
        <v>4.54</v>
      </c>
      <c r="Q17" s="6" t="n">
        <v>0.45</v>
      </c>
      <c r="R17" s="6" t="n">
        <f aca="false">P17+Q17</f>
        <v>4.99</v>
      </c>
      <c r="S17" s="6" t="n">
        <v>0</v>
      </c>
      <c r="T17" s="6" t="n">
        <v>2.3</v>
      </c>
      <c r="U17" s="6" t="n">
        <v>2.24</v>
      </c>
      <c r="V17" s="7" t="n">
        <f aca="false">IF(P17-(O17/1.21)=0,0,U17/(P17-(O17/1.21)))</f>
        <v>0.493392070484582</v>
      </c>
      <c r="W17" s="5" t="s">
        <v>162</v>
      </c>
      <c r="X17" s="5" t="s">
        <v>135</v>
      </c>
      <c r="Y17" s="5" t="s">
        <v>156</v>
      </c>
      <c r="Z17" s="11" t="n">
        <v>1</v>
      </c>
    </row>
    <row r="18" customFormat="false" ht="15" hidden="false" customHeight="false" outlineLevel="0" collapsed="false">
      <c r="A18" s="2" t="s">
        <v>198</v>
      </c>
      <c r="B18" s="8" t="n">
        <v>45867.8125</v>
      </c>
      <c r="C18" s="2" t="s">
        <v>172</v>
      </c>
      <c r="D18" s="2" t="s">
        <v>139</v>
      </c>
      <c r="E18" s="2" t="s">
        <v>140</v>
      </c>
      <c r="F18" s="2" t="s">
        <v>141</v>
      </c>
      <c r="G18" s="2" t="s">
        <v>142</v>
      </c>
      <c r="H18" s="2" t="s">
        <v>143</v>
      </c>
      <c r="I18" s="2" t="s">
        <v>132</v>
      </c>
      <c r="J18" s="2" t="s">
        <v>133</v>
      </c>
      <c r="K18" s="2" t="s">
        <v>168</v>
      </c>
      <c r="L18" s="3" t="n">
        <v>3.09</v>
      </c>
      <c r="M18" s="3" t="n">
        <v>2.29</v>
      </c>
      <c r="N18" s="3" t="n">
        <v>20.61</v>
      </c>
      <c r="O18" s="3" t="n">
        <v>9.95</v>
      </c>
      <c r="P18" s="3" t="n">
        <v>22.7</v>
      </c>
      <c r="Q18" s="3" t="n">
        <v>4.77</v>
      </c>
      <c r="R18" s="3" t="n">
        <f aca="false">P18+Q18</f>
        <v>27.47</v>
      </c>
      <c r="S18" s="3" t="n">
        <v>0</v>
      </c>
      <c r="T18" s="3" t="n">
        <v>8</v>
      </c>
      <c r="U18" s="3" t="n">
        <v>6.48</v>
      </c>
      <c r="V18" s="4" t="n">
        <f aca="false">IF(P18-(O18/1.21)=0,0,U18/(P18-(O18/1.21)))</f>
        <v>0.447610892276075</v>
      </c>
      <c r="W18" s="2" t="s">
        <v>134</v>
      </c>
      <c r="X18" s="2" t="s">
        <v>146</v>
      </c>
      <c r="Y18" s="2" t="s">
        <v>154</v>
      </c>
      <c r="Z18" s="9" t="n">
        <v>1</v>
      </c>
    </row>
    <row r="19" customFormat="false" ht="15" hidden="false" customHeight="false" outlineLevel="0" collapsed="false">
      <c r="A19" s="5" t="s">
        <v>199</v>
      </c>
      <c r="B19" s="10" t="n">
        <v>45868.6145833333</v>
      </c>
      <c r="C19" s="5" t="s">
        <v>138</v>
      </c>
      <c r="D19" s="5" t="s">
        <v>188</v>
      </c>
      <c r="E19" s="5" t="s">
        <v>189</v>
      </c>
      <c r="F19" s="5" t="s">
        <v>190</v>
      </c>
      <c r="G19" s="5" t="s">
        <v>191</v>
      </c>
      <c r="H19" s="5" t="s">
        <v>131</v>
      </c>
      <c r="I19" s="5" t="s">
        <v>132</v>
      </c>
      <c r="J19" s="5" t="s">
        <v>133</v>
      </c>
      <c r="K19" s="5" t="s">
        <v>200</v>
      </c>
      <c r="L19" s="6" t="n">
        <v>46.92</v>
      </c>
      <c r="M19" s="6" t="n">
        <v>0</v>
      </c>
      <c r="N19" s="6" t="n">
        <v>469.2</v>
      </c>
      <c r="O19" s="6" t="n">
        <v>0</v>
      </c>
      <c r="P19" s="6" t="n">
        <v>348.99</v>
      </c>
      <c r="Q19" s="6" t="n">
        <v>73.29</v>
      </c>
      <c r="R19" s="6" t="n">
        <f aca="false">P19+Q19</f>
        <v>422.28</v>
      </c>
      <c r="S19" s="6" t="n">
        <v>0</v>
      </c>
      <c r="T19" s="6" t="n">
        <v>190.9</v>
      </c>
      <c r="U19" s="6" t="n">
        <v>158.09</v>
      </c>
      <c r="V19" s="7" t="n">
        <f aca="false">IF(P19-(O19/1.21)=0,0,U19/(P19-(O19/1.21)))</f>
        <v>0.452992922433308</v>
      </c>
      <c r="W19" s="5" t="s">
        <v>145</v>
      </c>
      <c r="X19" s="5" t="s">
        <v>135</v>
      </c>
      <c r="Y19" s="5" t="s">
        <v>136</v>
      </c>
      <c r="Z19" s="11" t="n">
        <v>3</v>
      </c>
    </row>
    <row r="20" customFormat="false" ht="15" hidden="false" customHeight="false" outlineLevel="0" collapsed="false">
      <c r="A20" s="2" t="s">
        <v>201</v>
      </c>
      <c r="B20" s="8" t="n">
        <v>45882.7291666667</v>
      </c>
      <c r="C20" s="2" t="s">
        <v>126</v>
      </c>
      <c r="D20" s="2" t="s">
        <v>202</v>
      </c>
      <c r="E20" s="2" t="s">
        <v>203</v>
      </c>
      <c r="F20" s="2" t="s">
        <v>204</v>
      </c>
      <c r="G20" s="2" t="s">
        <v>205</v>
      </c>
      <c r="H20" s="2" t="s">
        <v>131</v>
      </c>
      <c r="I20" s="2" t="s">
        <v>132</v>
      </c>
      <c r="J20" s="2" t="s">
        <v>133</v>
      </c>
      <c r="K20" s="2" t="s">
        <v>168</v>
      </c>
      <c r="L20" s="3" t="n">
        <v>2.2</v>
      </c>
      <c r="M20" s="3" t="n">
        <v>3.22</v>
      </c>
      <c r="N20" s="3" t="n">
        <v>14.66</v>
      </c>
      <c r="O20" s="3" t="n">
        <v>9.95</v>
      </c>
      <c r="P20" s="3" t="n">
        <v>18.87</v>
      </c>
      <c r="Q20" s="3" t="n">
        <v>3.54</v>
      </c>
      <c r="R20" s="3" t="n">
        <f aca="false">P20+Q20</f>
        <v>22.41</v>
      </c>
      <c r="S20" s="3" t="n">
        <v>0</v>
      </c>
      <c r="T20" s="3" t="n">
        <v>5.1</v>
      </c>
      <c r="U20" s="3" t="n">
        <v>5.55</v>
      </c>
      <c r="V20" s="4" t="n">
        <f aca="false">IF(P20-(O20/1.21)=0,0,U20/(P20-(O20/1.21)))</f>
        <v>0.521280476918658</v>
      </c>
      <c r="W20" s="2" t="s">
        <v>134</v>
      </c>
      <c r="X20" s="2" t="s">
        <v>146</v>
      </c>
      <c r="Y20" s="2" t="s">
        <v>136</v>
      </c>
      <c r="Z20" s="9" t="n">
        <v>2</v>
      </c>
    </row>
    <row r="21" customFormat="false" ht="15" hidden="false" customHeight="false" outlineLevel="0" collapsed="false">
      <c r="A21" s="5" t="s">
        <v>206</v>
      </c>
      <c r="B21" s="10" t="n">
        <v>45885.4895833333</v>
      </c>
      <c r="C21" s="5" t="s">
        <v>126</v>
      </c>
      <c r="D21" s="5" t="s">
        <v>139</v>
      </c>
      <c r="E21" s="5" t="s">
        <v>140</v>
      </c>
      <c r="F21" s="5" t="s">
        <v>141</v>
      </c>
      <c r="G21" s="5" t="s">
        <v>142</v>
      </c>
      <c r="H21" s="5" t="s">
        <v>143</v>
      </c>
      <c r="I21" s="5" t="s">
        <v>132</v>
      </c>
      <c r="J21" s="5" t="s">
        <v>133</v>
      </c>
      <c r="K21" s="5"/>
      <c r="L21" s="6" t="n">
        <v>0</v>
      </c>
      <c r="M21" s="6" t="n">
        <v>0.98</v>
      </c>
      <c r="N21" s="6" t="n">
        <v>429.31</v>
      </c>
      <c r="O21" s="6" t="n">
        <v>4.95</v>
      </c>
      <c r="P21" s="6" t="n">
        <v>359.5</v>
      </c>
      <c r="Q21" s="6" t="n">
        <v>74.76</v>
      </c>
      <c r="R21" s="6" t="n">
        <f aca="false">P21+Q21</f>
        <v>434.26</v>
      </c>
      <c r="S21" s="6" t="n">
        <v>0</v>
      </c>
      <c r="T21" s="6" t="n">
        <v>277.6</v>
      </c>
      <c r="U21" s="6" t="n">
        <v>77.81</v>
      </c>
      <c r="V21" s="7" t="n">
        <f aca="false">IF(P21-(O21/1.21)=0,0,U21/(P21-(O21/1.21)))</f>
        <v>0.218930809566441</v>
      </c>
      <c r="W21" s="5" t="s">
        <v>153</v>
      </c>
      <c r="X21" s="5" t="s">
        <v>170</v>
      </c>
      <c r="Y21" s="5" t="s">
        <v>177</v>
      </c>
      <c r="Z21" s="11" t="n">
        <v>4</v>
      </c>
    </row>
    <row r="22" customFormat="false" ht="15" hidden="false" customHeight="false" outlineLevel="0" collapsed="false">
      <c r="A22" s="2" t="s">
        <v>207</v>
      </c>
      <c r="B22" s="8" t="n">
        <v>45886.7083333333</v>
      </c>
      <c r="C22" s="2" t="s">
        <v>126</v>
      </c>
      <c r="D22" s="2" t="s">
        <v>127</v>
      </c>
      <c r="E22" s="2" t="s">
        <v>128</v>
      </c>
      <c r="F22" s="2" t="s">
        <v>129</v>
      </c>
      <c r="G22" s="2" t="s">
        <v>130</v>
      </c>
      <c r="H22" s="2" t="s">
        <v>131</v>
      </c>
      <c r="I22" s="2" t="s">
        <v>132</v>
      </c>
      <c r="J22" s="2" t="s">
        <v>133</v>
      </c>
      <c r="K22" s="2"/>
      <c r="L22" s="3" t="n">
        <v>0</v>
      </c>
      <c r="M22" s="3" t="n">
        <v>0</v>
      </c>
      <c r="N22" s="3" t="n">
        <v>9.98</v>
      </c>
      <c r="O22" s="3" t="n">
        <v>9.95</v>
      </c>
      <c r="P22" s="3" t="n">
        <v>17.29</v>
      </c>
      <c r="Q22" s="3" t="n">
        <v>2.64</v>
      </c>
      <c r="R22" s="3" t="n">
        <f aca="false">P22+Q22</f>
        <v>19.93</v>
      </c>
      <c r="S22" s="3" t="n">
        <v>0</v>
      </c>
      <c r="T22" s="3" t="n">
        <v>4.6</v>
      </c>
      <c r="U22" s="3" t="n">
        <v>4.47</v>
      </c>
      <c r="V22" s="4" t="n">
        <f aca="false">IF(P22-(O22/1.21)=0,0,U22/(P22-(O22/1.21)))</f>
        <v>0.493004220255403</v>
      </c>
      <c r="W22" s="2" t="s">
        <v>162</v>
      </c>
      <c r="X22" s="2" t="s">
        <v>146</v>
      </c>
      <c r="Y22" s="2" t="s">
        <v>156</v>
      </c>
      <c r="Z22" s="9" t="n">
        <v>1</v>
      </c>
    </row>
    <row r="23" customFormat="false" ht="15" hidden="false" customHeight="false" outlineLevel="0" collapsed="false">
      <c r="A23" s="5" t="s">
        <v>208</v>
      </c>
      <c r="B23" s="10" t="n">
        <v>45886.90625</v>
      </c>
      <c r="C23" s="5" t="s">
        <v>126</v>
      </c>
      <c r="D23" s="5" t="s">
        <v>139</v>
      </c>
      <c r="E23" s="5" t="s">
        <v>140</v>
      </c>
      <c r="F23" s="5" t="s">
        <v>141</v>
      </c>
      <c r="G23" s="5" t="s">
        <v>142</v>
      </c>
      <c r="H23" s="5" t="s">
        <v>143</v>
      </c>
      <c r="I23" s="5" t="s">
        <v>132</v>
      </c>
      <c r="J23" s="5" t="s">
        <v>133</v>
      </c>
      <c r="K23" s="5"/>
      <c r="L23" s="6" t="n">
        <v>0</v>
      </c>
      <c r="M23" s="6" t="n">
        <v>0</v>
      </c>
      <c r="N23" s="6" t="n">
        <v>578</v>
      </c>
      <c r="O23" s="6" t="n">
        <v>4.95</v>
      </c>
      <c r="P23" s="6" t="n">
        <v>481.78</v>
      </c>
      <c r="Q23" s="6" t="n">
        <v>101.17</v>
      </c>
      <c r="R23" s="6" t="n">
        <f aca="false">P23+Q23</f>
        <v>582.95</v>
      </c>
      <c r="S23" s="6" t="n">
        <v>0</v>
      </c>
      <c r="T23" s="6" t="n">
        <v>280</v>
      </c>
      <c r="U23" s="6" t="n">
        <v>197.69</v>
      </c>
      <c r="V23" s="7" t="n">
        <f aca="false">IF(P23-(O23/1.21)=0,0,U23/(P23-(O23/1.21)))</f>
        <v>0.413846587167766</v>
      </c>
      <c r="W23" s="5" t="s">
        <v>134</v>
      </c>
      <c r="X23" s="5" t="s">
        <v>170</v>
      </c>
      <c r="Y23" s="5" t="s">
        <v>177</v>
      </c>
      <c r="Z23" s="11" t="n">
        <v>1</v>
      </c>
    </row>
    <row r="24" customFormat="false" ht="15" hidden="false" customHeight="false" outlineLevel="0" collapsed="false">
      <c r="A24" s="2" t="s">
        <v>209</v>
      </c>
      <c r="B24" s="8" t="n">
        <v>45888.5104166667</v>
      </c>
      <c r="C24" s="2" t="s">
        <v>126</v>
      </c>
      <c r="D24" s="2" t="s">
        <v>188</v>
      </c>
      <c r="E24" s="2" t="s">
        <v>189</v>
      </c>
      <c r="F24" s="2" t="s">
        <v>190</v>
      </c>
      <c r="G24" s="2" t="s">
        <v>191</v>
      </c>
      <c r="H24" s="2" t="s">
        <v>131</v>
      </c>
      <c r="I24" s="2" t="s">
        <v>132</v>
      </c>
      <c r="J24" s="2" t="s">
        <v>133</v>
      </c>
      <c r="K24" s="2" t="s">
        <v>200</v>
      </c>
      <c r="L24" s="3" t="n">
        <v>1.99</v>
      </c>
      <c r="M24" s="3" t="n">
        <v>0</v>
      </c>
      <c r="N24" s="3" t="n">
        <v>19.9</v>
      </c>
      <c r="O24" s="3" t="n">
        <v>9.95</v>
      </c>
      <c r="P24" s="3" t="n">
        <v>23.02</v>
      </c>
      <c r="Q24" s="3" t="n">
        <v>4.84</v>
      </c>
      <c r="R24" s="3" t="n">
        <f aca="false">P24+Q24</f>
        <v>27.86</v>
      </c>
      <c r="S24" s="3" t="n">
        <v>0</v>
      </c>
      <c r="T24" s="3" t="n">
        <v>7.9</v>
      </c>
      <c r="U24" s="3" t="n">
        <v>6.9</v>
      </c>
      <c r="V24" s="4" t="n">
        <f aca="false">IF(P24-(O24/1.21)=0,0,U24/(P24-(O24/1.21)))</f>
        <v>0.466315166273835</v>
      </c>
      <c r="W24" s="2" t="s">
        <v>145</v>
      </c>
      <c r="X24" s="2" t="s">
        <v>146</v>
      </c>
      <c r="Y24" s="2" t="s">
        <v>154</v>
      </c>
      <c r="Z24" s="9" t="n">
        <v>1</v>
      </c>
    </row>
    <row r="25" customFormat="false" ht="15" hidden="false" customHeight="false" outlineLevel="0" collapsed="false">
      <c r="A25" s="5" t="s">
        <v>210</v>
      </c>
      <c r="B25" s="10" t="n">
        <v>45890.8645833333</v>
      </c>
      <c r="C25" s="5" t="s">
        <v>126</v>
      </c>
      <c r="D25" s="5" t="s">
        <v>158</v>
      </c>
      <c r="E25" s="5" t="s">
        <v>159</v>
      </c>
      <c r="F25" s="5" t="s">
        <v>160</v>
      </c>
      <c r="G25" s="5" t="s">
        <v>161</v>
      </c>
      <c r="H25" s="5" t="s">
        <v>131</v>
      </c>
      <c r="I25" s="5" t="s">
        <v>132</v>
      </c>
      <c r="J25" s="5" t="s">
        <v>133</v>
      </c>
      <c r="K25" s="5"/>
      <c r="L25" s="6" t="n">
        <v>0</v>
      </c>
      <c r="M25" s="6" t="n">
        <v>0</v>
      </c>
      <c r="N25" s="6" t="n">
        <v>9.98</v>
      </c>
      <c r="O25" s="6" t="n">
        <v>0</v>
      </c>
      <c r="P25" s="6" t="n">
        <v>9.07</v>
      </c>
      <c r="Q25" s="6" t="n">
        <v>0.91</v>
      </c>
      <c r="R25" s="6" t="n">
        <f aca="false">P25+Q25</f>
        <v>9.98</v>
      </c>
      <c r="S25" s="6" t="n">
        <v>0</v>
      </c>
      <c r="T25" s="6" t="n">
        <v>4.6</v>
      </c>
      <c r="U25" s="6" t="n">
        <v>4.47</v>
      </c>
      <c r="V25" s="7" t="n">
        <f aca="false">IF(P25-(O25/1.21)=0,0,U25/(P25-(O25/1.21)))</f>
        <v>0.492833517089305</v>
      </c>
      <c r="W25" s="5" t="s">
        <v>162</v>
      </c>
      <c r="X25" s="5" t="s">
        <v>135</v>
      </c>
      <c r="Y25" s="5" t="s">
        <v>156</v>
      </c>
      <c r="Z25" s="11" t="n">
        <v>1</v>
      </c>
    </row>
    <row r="26" customFormat="false" ht="15" hidden="false" customHeight="false" outlineLevel="0" collapsed="false">
      <c r="A26" s="2" t="s">
        <v>211</v>
      </c>
      <c r="B26" s="8" t="n">
        <v>45892.78125</v>
      </c>
      <c r="C26" s="2" t="s">
        <v>138</v>
      </c>
      <c r="D26" s="2" t="s">
        <v>179</v>
      </c>
      <c r="E26" s="2" t="s">
        <v>180</v>
      </c>
      <c r="F26" s="2" t="s">
        <v>181</v>
      </c>
      <c r="G26" s="2" t="s">
        <v>182</v>
      </c>
      <c r="H26" s="2" t="s">
        <v>131</v>
      </c>
      <c r="I26" s="2" t="s">
        <v>132</v>
      </c>
      <c r="J26" s="2" t="s">
        <v>133</v>
      </c>
      <c r="K26" s="2" t="s">
        <v>200</v>
      </c>
      <c r="L26" s="3" t="n">
        <v>8.37</v>
      </c>
      <c r="M26" s="3" t="n">
        <v>21.79</v>
      </c>
      <c r="N26" s="3" t="n">
        <v>83.71</v>
      </c>
      <c r="O26" s="3" t="n">
        <v>0</v>
      </c>
      <c r="P26" s="3" t="n">
        <v>62.27</v>
      </c>
      <c r="Q26" s="3" t="n">
        <v>13.07</v>
      </c>
      <c r="R26" s="3" t="n">
        <f aca="false">P26+Q26</f>
        <v>75.34</v>
      </c>
      <c r="S26" s="3" t="n">
        <v>0</v>
      </c>
      <c r="T26" s="3" t="n">
        <v>37</v>
      </c>
      <c r="U26" s="3" t="n">
        <v>25.27</v>
      </c>
      <c r="V26" s="4" t="n">
        <f aca="false">IF(P26-(O26/1.21)=0,0,U26/(P26-(O26/1.21)))</f>
        <v>0.405813393287297</v>
      </c>
      <c r="W26" s="2" t="s">
        <v>145</v>
      </c>
      <c r="X26" s="2" t="s">
        <v>135</v>
      </c>
      <c r="Y26" s="2" t="s">
        <v>177</v>
      </c>
      <c r="Z26" s="9" t="n">
        <v>2</v>
      </c>
    </row>
    <row r="27" customFormat="false" ht="15" hidden="false" customHeight="false" outlineLevel="0" collapsed="false">
      <c r="A27" s="5" t="s">
        <v>212</v>
      </c>
      <c r="B27" s="10" t="n">
        <v>45896.375</v>
      </c>
      <c r="C27" s="5" t="s">
        <v>126</v>
      </c>
      <c r="D27" s="5" t="s">
        <v>149</v>
      </c>
      <c r="E27" s="5" t="s">
        <v>150</v>
      </c>
      <c r="F27" s="5" t="s">
        <v>151</v>
      </c>
      <c r="G27" s="5" t="s">
        <v>152</v>
      </c>
      <c r="H27" s="5" t="s">
        <v>131</v>
      </c>
      <c r="I27" s="5" t="s">
        <v>132</v>
      </c>
      <c r="J27" s="5" t="s">
        <v>133</v>
      </c>
      <c r="K27" s="5"/>
      <c r="L27" s="6" t="n">
        <v>0</v>
      </c>
      <c r="M27" s="6" t="n">
        <v>0</v>
      </c>
      <c r="N27" s="6" t="n">
        <v>307.9</v>
      </c>
      <c r="O27" s="6" t="n">
        <v>9.95</v>
      </c>
      <c r="P27" s="6" t="n">
        <v>262.68</v>
      </c>
      <c r="Q27" s="6" t="n">
        <v>55.17</v>
      </c>
      <c r="R27" s="6" t="n">
        <f aca="false">P27+Q27</f>
        <v>317.85</v>
      </c>
      <c r="S27" s="6" t="n">
        <v>0</v>
      </c>
      <c r="T27" s="6" t="n">
        <v>139</v>
      </c>
      <c r="U27" s="6" t="n">
        <v>115.46</v>
      </c>
      <c r="V27" s="7" t="n">
        <f aca="false">IF(P27-(O27/1.21)=0,0,U27/(P27-(O27/1.21)))</f>
        <v>0.45375078598785</v>
      </c>
      <c r="W27" s="5" t="s">
        <v>162</v>
      </c>
      <c r="X27" s="5" t="s">
        <v>146</v>
      </c>
      <c r="Y27" s="5" t="s">
        <v>136</v>
      </c>
      <c r="Z27" s="11" t="n">
        <v>2</v>
      </c>
    </row>
    <row r="28" customFormat="false" ht="15" hidden="false" customHeight="false" outlineLevel="0" collapsed="false">
      <c r="A28" s="2" t="s">
        <v>213</v>
      </c>
      <c r="B28" s="8" t="n">
        <v>45897.4479166667</v>
      </c>
      <c r="C28" s="2" t="s">
        <v>138</v>
      </c>
      <c r="D28" s="2" t="s">
        <v>202</v>
      </c>
      <c r="E28" s="2" t="s">
        <v>203</v>
      </c>
      <c r="F28" s="2" t="s">
        <v>204</v>
      </c>
      <c r="G28" s="2" t="s">
        <v>205</v>
      </c>
      <c r="H28" s="2" t="s">
        <v>131</v>
      </c>
      <c r="I28" s="2" t="s">
        <v>132</v>
      </c>
      <c r="J28" s="2" t="s">
        <v>133</v>
      </c>
      <c r="K28" s="2" t="s">
        <v>168</v>
      </c>
      <c r="L28" s="3" t="n">
        <v>17.85</v>
      </c>
      <c r="M28" s="3" t="n">
        <v>0</v>
      </c>
      <c r="N28" s="3" t="n">
        <v>119</v>
      </c>
      <c r="O28" s="3" t="n">
        <v>9.95</v>
      </c>
      <c r="P28" s="3" t="n">
        <v>91.82</v>
      </c>
      <c r="Q28" s="3" t="n">
        <v>19.28</v>
      </c>
      <c r="R28" s="3" t="n">
        <f aca="false">P28+Q28</f>
        <v>111.1</v>
      </c>
      <c r="S28" s="3" t="n">
        <v>0</v>
      </c>
      <c r="T28" s="3" t="n">
        <v>55</v>
      </c>
      <c r="U28" s="3" t="n">
        <v>28.6</v>
      </c>
      <c r="V28" s="4" t="n">
        <f aca="false">IF(P28-(O28/1.21)=0,0,U28/(P28-(O28/1.21)))</f>
        <v>0.342118115078071</v>
      </c>
      <c r="W28" s="2" t="s">
        <v>162</v>
      </c>
      <c r="X28" s="2" t="s">
        <v>146</v>
      </c>
      <c r="Y28" s="2" t="s">
        <v>154</v>
      </c>
      <c r="Z28" s="9" t="n">
        <v>1</v>
      </c>
    </row>
    <row r="29" customFormat="false" ht="15" hidden="false" customHeight="false" outlineLevel="0" collapsed="false">
      <c r="A29" s="5" t="s">
        <v>214</v>
      </c>
      <c r="B29" s="10" t="n">
        <v>45897.65625</v>
      </c>
      <c r="C29" s="5" t="s">
        <v>148</v>
      </c>
      <c r="D29" s="5" t="s">
        <v>149</v>
      </c>
      <c r="E29" s="5" t="s">
        <v>150</v>
      </c>
      <c r="F29" s="5" t="s">
        <v>151</v>
      </c>
      <c r="G29" s="5" t="s">
        <v>152</v>
      </c>
      <c r="H29" s="5" t="s">
        <v>131</v>
      </c>
      <c r="I29" s="5" t="s">
        <v>132</v>
      </c>
      <c r="J29" s="5" t="s">
        <v>133</v>
      </c>
      <c r="K29" s="5" t="s">
        <v>186</v>
      </c>
      <c r="L29" s="6" t="n">
        <v>0</v>
      </c>
      <c r="M29" s="6" t="n">
        <v>0</v>
      </c>
      <c r="N29" s="6" t="n">
        <v>817.9</v>
      </c>
      <c r="O29" s="6" t="n">
        <v>0</v>
      </c>
      <c r="P29" s="6" t="n">
        <v>675.95</v>
      </c>
      <c r="Q29" s="6" t="n">
        <v>141.95</v>
      </c>
      <c r="R29" s="6" t="n">
        <f aca="false">P29+Q29</f>
        <v>817.9</v>
      </c>
      <c r="S29" s="6" t="n">
        <v>0</v>
      </c>
      <c r="T29" s="6" t="n">
        <v>556.5</v>
      </c>
      <c r="U29" s="6" t="n">
        <v>119.45</v>
      </c>
      <c r="V29" s="7" t="n">
        <f aca="false">IF(P29-(O29/1.21)=0,0,U29/(P29-(O29/1.21)))</f>
        <v>0.176714254012871</v>
      </c>
      <c r="W29" s="5" t="s">
        <v>169</v>
      </c>
      <c r="X29" s="5" t="s">
        <v>135</v>
      </c>
      <c r="Y29" s="5" t="s">
        <v>177</v>
      </c>
      <c r="Z29" s="11" t="n">
        <v>2</v>
      </c>
    </row>
    <row r="30" customFormat="false" ht="15" hidden="false" customHeight="false" outlineLevel="0" collapsed="false">
      <c r="A30" s="2" t="s">
        <v>215</v>
      </c>
      <c r="B30" s="8" t="n">
        <v>45898.5</v>
      </c>
      <c r="C30" s="2" t="s">
        <v>126</v>
      </c>
      <c r="D30" s="2" t="s">
        <v>179</v>
      </c>
      <c r="E30" s="2" t="s">
        <v>180</v>
      </c>
      <c r="F30" s="2" t="s">
        <v>181</v>
      </c>
      <c r="G30" s="2" t="s">
        <v>182</v>
      </c>
      <c r="H30" s="2" t="s">
        <v>131</v>
      </c>
      <c r="I30" s="2" t="s">
        <v>132</v>
      </c>
      <c r="J30" s="2" t="s">
        <v>133</v>
      </c>
      <c r="K30" s="2"/>
      <c r="L30" s="3" t="n">
        <v>0</v>
      </c>
      <c r="M30" s="3" t="n">
        <v>2.92</v>
      </c>
      <c r="N30" s="3" t="n">
        <v>84.38</v>
      </c>
      <c r="O30" s="3" t="n">
        <v>0</v>
      </c>
      <c r="P30" s="3" t="n">
        <v>70.46</v>
      </c>
      <c r="Q30" s="3" t="n">
        <v>13.92</v>
      </c>
      <c r="R30" s="3" t="n">
        <f aca="false">P30+Q30</f>
        <v>84.38</v>
      </c>
      <c r="S30" s="3" t="n">
        <v>0</v>
      </c>
      <c r="T30" s="3" t="n">
        <v>33.5</v>
      </c>
      <c r="U30" s="3" t="n">
        <v>36.96</v>
      </c>
      <c r="V30" s="4" t="n">
        <f aca="false">IF(P30-(O30/1.21)=0,0,U30/(P30-(O30/1.21)))</f>
        <v>0.524552937837071</v>
      </c>
      <c r="W30" s="2" t="s">
        <v>145</v>
      </c>
      <c r="X30" s="2" t="s">
        <v>135</v>
      </c>
      <c r="Y30" s="2" t="s">
        <v>177</v>
      </c>
      <c r="Z30" s="9" t="n">
        <v>2</v>
      </c>
    </row>
    <row r="31" customFormat="false" ht="15" hidden="false" customHeight="false" outlineLevel="0" collapsed="false">
      <c r="A31" s="5" t="s">
        <v>216</v>
      </c>
      <c r="B31" s="10" t="n">
        <v>45901.3854166667</v>
      </c>
      <c r="C31" s="5" t="s">
        <v>126</v>
      </c>
      <c r="D31" s="5" t="s">
        <v>217</v>
      </c>
      <c r="E31" s="5" t="s">
        <v>218</v>
      </c>
      <c r="F31" s="5" t="s">
        <v>219</v>
      </c>
      <c r="G31" s="5" t="s">
        <v>220</v>
      </c>
      <c r="H31" s="5" t="s">
        <v>131</v>
      </c>
      <c r="I31" s="5" t="s">
        <v>132</v>
      </c>
      <c r="J31" s="5" t="s">
        <v>133</v>
      </c>
      <c r="K31" s="5" t="s">
        <v>168</v>
      </c>
      <c r="L31" s="6" t="n">
        <v>1.42</v>
      </c>
      <c r="M31" s="6" t="n">
        <v>0.5</v>
      </c>
      <c r="N31" s="6" t="n">
        <v>9.48</v>
      </c>
      <c r="O31" s="6" t="n">
        <v>0</v>
      </c>
      <c r="P31" s="6" t="n">
        <v>7.33</v>
      </c>
      <c r="Q31" s="6" t="n">
        <v>0.73</v>
      </c>
      <c r="R31" s="6" t="n">
        <f aca="false">P31+Q31</f>
        <v>8.06</v>
      </c>
      <c r="S31" s="6" t="n">
        <v>0</v>
      </c>
      <c r="T31" s="6" t="n">
        <v>4.6</v>
      </c>
      <c r="U31" s="6" t="n">
        <v>2.73</v>
      </c>
      <c r="V31" s="7" t="n">
        <f aca="false">IF(P31-(O31/1.21)=0,0,U31/(P31-(O31/1.21)))</f>
        <v>0.372442019099591</v>
      </c>
      <c r="W31" s="5" t="s">
        <v>162</v>
      </c>
      <c r="X31" s="5" t="s">
        <v>135</v>
      </c>
      <c r="Y31" s="5" t="s">
        <v>156</v>
      </c>
      <c r="Z31" s="11" t="n">
        <v>1</v>
      </c>
    </row>
    <row r="32" customFormat="false" ht="15" hidden="false" customHeight="false" outlineLevel="0" collapsed="false">
      <c r="A32" s="2" t="s">
        <v>221</v>
      </c>
      <c r="B32" s="8" t="n">
        <v>45903.8125</v>
      </c>
      <c r="C32" s="2" t="s">
        <v>126</v>
      </c>
      <c r="D32" s="2" t="s">
        <v>173</v>
      </c>
      <c r="E32" s="2" t="s">
        <v>174</v>
      </c>
      <c r="F32" s="2" t="s">
        <v>175</v>
      </c>
      <c r="G32" s="2" t="s">
        <v>161</v>
      </c>
      <c r="H32" s="2" t="s">
        <v>131</v>
      </c>
      <c r="I32" s="2" t="s">
        <v>176</v>
      </c>
      <c r="J32" s="2" t="s">
        <v>133</v>
      </c>
      <c r="K32" s="2"/>
      <c r="L32" s="3" t="n">
        <v>0</v>
      </c>
      <c r="M32" s="3" t="n">
        <v>0</v>
      </c>
      <c r="N32" s="3" t="n">
        <v>59.9</v>
      </c>
      <c r="O32" s="3" t="n">
        <v>4.95</v>
      </c>
      <c r="P32" s="3" t="n">
        <v>53.59</v>
      </c>
      <c r="Q32" s="3" t="n">
        <v>11.26</v>
      </c>
      <c r="R32" s="3" t="n">
        <f aca="false">P32+Q32</f>
        <v>64.85</v>
      </c>
      <c r="S32" s="3" t="n">
        <v>59.9</v>
      </c>
      <c r="T32" s="3" t="n">
        <v>24</v>
      </c>
      <c r="U32" s="3" t="n">
        <v>25.5</v>
      </c>
      <c r="V32" s="4" t="n">
        <f aca="false">IF(P32-(O32/1.21)=0,0,U32/(P32-(O32/1.21)))</f>
        <v>0.515160976326471</v>
      </c>
      <c r="W32" s="2" t="s">
        <v>153</v>
      </c>
      <c r="X32" s="2" t="s">
        <v>170</v>
      </c>
      <c r="Y32" s="2" t="s">
        <v>136</v>
      </c>
      <c r="Z32" s="9" t="n">
        <v>1</v>
      </c>
    </row>
    <row r="33" customFormat="false" ht="15" hidden="false" customHeight="false" outlineLevel="0" collapsed="false">
      <c r="A33" s="5" t="s">
        <v>222</v>
      </c>
      <c r="B33" s="10" t="n">
        <v>45904.53125</v>
      </c>
      <c r="C33" s="5" t="s">
        <v>148</v>
      </c>
      <c r="D33" s="5" t="s">
        <v>223</v>
      </c>
      <c r="E33" s="5" t="s">
        <v>224</v>
      </c>
      <c r="F33" s="5" t="s">
        <v>225</v>
      </c>
      <c r="G33" s="5" t="s">
        <v>226</v>
      </c>
      <c r="H33" s="5" t="s">
        <v>131</v>
      </c>
      <c r="I33" s="5" t="s">
        <v>132</v>
      </c>
      <c r="J33" s="5" t="s">
        <v>133</v>
      </c>
      <c r="K33" s="5"/>
      <c r="L33" s="6" t="n">
        <v>0</v>
      </c>
      <c r="M33" s="6" t="n">
        <v>0</v>
      </c>
      <c r="N33" s="6" t="n">
        <v>49.8</v>
      </c>
      <c r="O33" s="6" t="n">
        <v>9.95</v>
      </c>
      <c r="P33" s="6" t="n">
        <v>49.38</v>
      </c>
      <c r="Q33" s="6" t="n">
        <v>10.37</v>
      </c>
      <c r="R33" s="6" t="n">
        <f aca="false">P33+Q33</f>
        <v>59.75</v>
      </c>
      <c r="S33" s="6" t="n">
        <v>0</v>
      </c>
      <c r="T33" s="6" t="n">
        <v>19.6</v>
      </c>
      <c r="U33" s="6" t="n">
        <v>21.56</v>
      </c>
      <c r="V33" s="7" t="n">
        <f aca="false">IF(P33-(O33/1.21)=0,0,U33/(P33-(O33/1.21)))</f>
        <v>0.523849493371459</v>
      </c>
      <c r="W33" s="5" t="s">
        <v>134</v>
      </c>
      <c r="X33" s="5" t="s">
        <v>146</v>
      </c>
      <c r="Y33" s="5" t="s">
        <v>156</v>
      </c>
      <c r="Z33" s="11" t="n">
        <v>1</v>
      </c>
    </row>
    <row r="34" customFormat="false" ht="15" hidden="false" customHeight="false" outlineLevel="0" collapsed="false">
      <c r="A34" s="2" t="s">
        <v>227</v>
      </c>
      <c r="B34" s="8" t="n">
        <v>45907.5625</v>
      </c>
      <c r="C34" s="2" t="s">
        <v>126</v>
      </c>
      <c r="D34" s="2" t="s">
        <v>127</v>
      </c>
      <c r="E34" s="2" t="s">
        <v>128</v>
      </c>
      <c r="F34" s="2" t="s">
        <v>129</v>
      </c>
      <c r="G34" s="2" t="s">
        <v>130</v>
      </c>
      <c r="H34" s="2" t="s">
        <v>131</v>
      </c>
      <c r="I34" s="2" t="s">
        <v>132</v>
      </c>
      <c r="J34" s="2" t="s">
        <v>133</v>
      </c>
      <c r="K34" s="2"/>
      <c r="L34" s="3" t="n">
        <v>0</v>
      </c>
      <c r="M34" s="3" t="n">
        <v>2.4</v>
      </c>
      <c r="N34" s="3" t="n">
        <v>21.57</v>
      </c>
      <c r="O34" s="3" t="n">
        <v>9.95</v>
      </c>
      <c r="P34" s="3" t="n">
        <v>27.83</v>
      </c>
      <c r="Q34" s="3" t="n">
        <v>3.69</v>
      </c>
      <c r="R34" s="3" t="n">
        <f aca="false">P34+Q34</f>
        <v>31.52</v>
      </c>
      <c r="S34" s="3" t="n">
        <v>0</v>
      </c>
      <c r="T34" s="3" t="n">
        <v>10.2</v>
      </c>
      <c r="U34" s="3" t="n">
        <v>9.41</v>
      </c>
      <c r="V34" s="4" t="n">
        <f aca="false">IF(P34-(O34/1.21)=0,0,U34/(P34-(O34/1.21)))</f>
        <v>0.479934076031748</v>
      </c>
      <c r="W34" s="2" t="s">
        <v>145</v>
      </c>
      <c r="X34" s="2" t="s">
        <v>146</v>
      </c>
      <c r="Y34" s="2" t="s">
        <v>154</v>
      </c>
      <c r="Z34" s="9" t="n">
        <v>1</v>
      </c>
    </row>
    <row r="35" customFormat="false" ht="15" hidden="false" customHeight="false" outlineLevel="0" collapsed="false">
      <c r="A35" s="5" t="s">
        <v>228</v>
      </c>
      <c r="B35" s="10" t="n">
        <v>45912.5208333333</v>
      </c>
      <c r="C35" s="5" t="s">
        <v>126</v>
      </c>
      <c r="D35" s="5" t="s">
        <v>158</v>
      </c>
      <c r="E35" s="5" t="s">
        <v>159</v>
      </c>
      <c r="F35" s="5" t="s">
        <v>160</v>
      </c>
      <c r="G35" s="5" t="s">
        <v>161</v>
      </c>
      <c r="H35" s="5" t="s">
        <v>131</v>
      </c>
      <c r="I35" s="5" t="s">
        <v>132</v>
      </c>
      <c r="J35" s="5" t="s">
        <v>133</v>
      </c>
      <c r="K35" s="5"/>
      <c r="L35" s="6" t="n">
        <v>0</v>
      </c>
      <c r="M35" s="6" t="n">
        <v>0</v>
      </c>
      <c r="N35" s="6" t="n">
        <v>39.95</v>
      </c>
      <c r="O35" s="6" t="n">
        <v>9.95</v>
      </c>
      <c r="P35" s="6" t="n">
        <v>44.54</v>
      </c>
      <c r="Q35" s="6" t="n">
        <v>5.36</v>
      </c>
      <c r="R35" s="6" t="n">
        <f aca="false">P35+Q35</f>
        <v>49.9</v>
      </c>
      <c r="S35" s="6" t="n">
        <v>0</v>
      </c>
      <c r="T35" s="6" t="n">
        <v>17</v>
      </c>
      <c r="U35" s="6" t="n">
        <v>19.32</v>
      </c>
      <c r="V35" s="7" t="n">
        <f aca="false">IF(P35-(O35/1.21)=0,0,U35/(P35-(O35/1.21)))</f>
        <v>0.53198432529117</v>
      </c>
      <c r="W35" s="5" t="s">
        <v>145</v>
      </c>
      <c r="X35" s="5" t="s">
        <v>146</v>
      </c>
      <c r="Y35" s="5" t="s">
        <v>177</v>
      </c>
      <c r="Z35" s="11" t="n">
        <v>1</v>
      </c>
    </row>
    <row r="36" customFormat="false" ht="15" hidden="false" customHeight="false" outlineLevel="0" collapsed="false">
      <c r="A36" s="2" t="s">
        <v>229</v>
      </c>
      <c r="B36" s="8" t="n">
        <v>45915.4895833333</v>
      </c>
      <c r="C36" s="2" t="s">
        <v>126</v>
      </c>
      <c r="D36" s="2" t="s">
        <v>202</v>
      </c>
      <c r="E36" s="2" t="s">
        <v>203</v>
      </c>
      <c r="F36" s="2" t="s">
        <v>204</v>
      </c>
      <c r="G36" s="2" t="s">
        <v>205</v>
      </c>
      <c r="H36" s="2" t="s">
        <v>131</v>
      </c>
      <c r="I36" s="2" t="s">
        <v>185</v>
      </c>
      <c r="J36" s="2" t="s">
        <v>185</v>
      </c>
      <c r="K36" s="2"/>
      <c r="L36" s="3" t="n">
        <v>0</v>
      </c>
      <c r="M36" s="3" t="n">
        <v>0.75</v>
      </c>
      <c r="N36" s="3" t="n">
        <v>29.13</v>
      </c>
      <c r="O36" s="3" t="n">
        <v>9.95</v>
      </c>
      <c r="P36" s="3" t="n">
        <v>32.65</v>
      </c>
      <c r="Q36" s="3" t="n">
        <v>6.43</v>
      </c>
      <c r="R36" s="3" t="n">
        <f aca="false">P36+Q36</f>
        <v>39.08</v>
      </c>
      <c r="S36" s="3" t="n">
        <v>0</v>
      </c>
      <c r="T36" s="3" t="n">
        <v>12.8</v>
      </c>
      <c r="U36" s="3" t="n">
        <v>11.63</v>
      </c>
      <c r="V36" s="4" t="n">
        <f aca="false">IF(P36-(O36/1.21)=0,0,U36/(P36-(O36/1.21)))</f>
        <v>0.476115236919121</v>
      </c>
      <c r="W36" s="2" t="s">
        <v>153</v>
      </c>
      <c r="X36" s="2" t="s">
        <v>146</v>
      </c>
      <c r="Y36" s="2" t="s">
        <v>154</v>
      </c>
      <c r="Z36" s="9" t="n">
        <v>2</v>
      </c>
    </row>
    <row r="37" customFormat="false" ht="15" hidden="false" customHeight="false" outlineLevel="0" collapsed="false">
      <c r="A37" s="5" t="s">
        <v>230</v>
      </c>
      <c r="B37" s="10" t="n">
        <v>45915.8541666667</v>
      </c>
      <c r="C37" s="5" t="s">
        <v>138</v>
      </c>
      <c r="D37" s="5" t="s">
        <v>158</v>
      </c>
      <c r="E37" s="5" t="s">
        <v>159</v>
      </c>
      <c r="F37" s="5" t="s">
        <v>160</v>
      </c>
      <c r="G37" s="5" t="s">
        <v>161</v>
      </c>
      <c r="H37" s="5" t="s">
        <v>131</v>
      </c>
      <c r="I37" s="5" t="s">
        <v>231</v>
      </c>
      <c r="J37" s="5" t="s">
        <v>133</v>
      </c>
      <c r="K37" s="5" t="s">
        <v>200</v>
      </c>
      <c r="L37" s="6" t="n">
        <v>6.75</v>
      </c>
      <c r="M37" s="6" t="n">
        <v>0.75</v>
      </c>
      <c r="N37" s="6" t="n">
        <v>67.47</v>
      </c>
      <c r="O37" s="6" t="n">
        <v>4.95</v>
      </c>
      <c r="P37" s="6" t="n">
        <v>55.89</v>
      </c>
      <c r="Q37" s="6" t="n">
        <v>9.78</v>
      </c>
      <c r="R37" s="6" t="n">
        <f aca="false">P37+Q37</f>
        <v>65.67</v>
      </c>
      <c r="S37" s="6" t="n">
        <v>65.67</v>
      </c>
      <c r="T37" s="6" t="n">
        <v>26.5</v>
      </c>
      <c r="U37" s="6" t="n">
        <v>25.3</v>
      </c>
      <c r="V37" s="7" t="n">
        <f aca="false">IF(P37-(O37/1.21)=0,0,U37/(P37-(O37/1.21)))</f>
        <v>0.488425560294143</v>
      </c>
      <c r="W37" s="5" t="s">
        <v>134</v>
      </c>
      <c r="X37" s="5" t="s">
        <v>170</v>
      </c>
      <c r="Y37" s="5" t="s">
        <v>136</v>
      </c>
      <c r="Z37" s="11" t="n">
        <v>3</v>
      </c>
    </row>
    <row r="38" customFormat="false" ht="15" hidden="false" customHeight="false" outlineLevel="0" collapsed="false">
      <c r="A38" s="2" t="s">
        <v>232</v>
      </c>
      <c r="B38" s="8" t="n">
        <v>45915.875</v>
      </c>
      <c r="C38" s="2" t="s">
        <v>148</v>
      </c>
      <c r="D38" s="2" t="s">
        <v>188</v>
      </c>
      <c r="E38" s="2" t="s">
        <v>189</v>
      </c>
      <c r="F38" s="2" t="s">
        <v>190</v>
      </c>
      <c r="G38" s="2" t="s">
        <v>191</v>
      </c>
      <c r="H38" s="2" t="s">
        <v>131</v>
      </c>
      <c r="I38" s="2" t="s">
        <v>132</v>
      </c>
      <c r="J38" s="2" t="s">
        <v>133</v>
      </c>
      <c r="K38" s="2" t="s">
        <v>144</v>
      </c>
      <c r="L38" s="3" t="n">
        <v>121.86</v>
      </c>
      <c r="M38" s="3" t="n">
        <v>0</v>
      </c>
      <c r="N38" s="3" t="n">
        <v>609.3</v>
      </c>
      <c r="O38" s="3" t="n">
        <v>4.95</v>
      </c>
      <c r="P38" s="3" t="n">
        <v>406.93</v>
      </c>
      <c r="Q38" s="3" t="n">
        <v>85.46</v>
      </c>
      <c r="R38" s="3" t="n">
        <f aca="false">P38+Q38</f>
        <v>492.39</v>
      </c>
      <c r="S38" s="3" t="n">
        <v>0</v>
      </c>
      <c r="T38" s="3" t="n">
        <v>317</v>
      </c>
      <c r="U38" s="3" t="n">
        <v>85.84</v>
      </c>
      <c r="V38" s="4" t="n">
        <f aca="false">IF(P38-(O38/1.21)=0,0,U38/(P38-(O38/1.21)))</f>
        <v>0.213087562595487</v>
      </c>
      <c r="W38" s="2" t="s">
        <v>162</v>
      </c>
      <c r="X38" s="2" t="s">
        <v>170</v>
      </c>
      <c r="Y38" s="2" t="s">
        <v>136</v>
      </c>
      <c r="Z38" s="9" t="n">
        <v>2</v>
      </c>
    </row>
    <row r="39" customFormat="false" ht="15" hidden="false" customHeight="false" outlineLevel="0" collapsed="false">
      <c r="A39" s="5" t="s">
        <v>233</v>
      </c>
      <c r="B39" s="10" t="n">
        <v>45917.90625</v>
      </c>
      <c r="C39" s="5" t="s">
        <v>138</v>
      </c>
      <c r="D39" s="5" t="s">
        <v>179</v>
      </c>
      <c r="E39" s="5" t="s">
        <v>180</v>
      </c>
      <c r="F39" s="5" t="s">
        <v>181</v>
      </c>
      <c r="G39" s="5" t="s">
        <v>182</v>
      </c>
      <c r="H39" s="5" t="s">
        <v>131</v>
      </c>
      <c r="I39" s="5" t="s">
        <v>132</v>
      </c>
      <c r="J39" s="5" t="s">
        <v>133</v>
      </c>
      <c r="K39" s="5" t="s">
        <v>200</v>
      </c>
      <c r="L39" s="6" t="n">
        <v>13.2</v>
      </c>
      <c r="M39" s="6" t="n">
        <v>6.95</v>
      </c>
      <c r="N39" s="6" t="n">
        <v>132.05</v>
      </c>
      <c r="O39" s="6" t="n">
        <v>9.95</v>
      </c>
      <c r="P39" s="6" t="n">
        <v>106.44</v>
      </c>
      <c r="Q39" s="6" t="n">
        <v>22.36</v>
      </c>
      <c r="R39" s="6" t="n">
        <f aca="false">P39+Q39</f>
        <v>128.8</v>
      </c>
      <c r="S39" s="6" t="n">
        <v>0</v>
      </c>
      <c r="T39" s="6" t="n">
        <v>62</v>
      </c>
      <c r="U39" s="6" t="n">
        <v>36.22</v>
      </c>
      <c r="V39" s="7" t="n">
        <f aca="false">IF(P39-(O39/1.21)=0,0,U39/(P39-(O39/1.21)))</f>
        <v>0.368775790458624</v>
      </c>
      <c r="W39" s="5" t="s">
        <v>145</v>
      </c>
      <c r="X39" s="5" t="s">
        <v>146</v>
      </c>
      <c r="Y39" s="5" t="s">
        <v>177</v>
      </c>
      <c r="Z39" s="11" t="n">
        <v>1</v>
      </c>
    </row>
    <row r="40" customFormat="false" ht="15" hidden="false" customHeight="false" outlineLevel="0" collapsed="false">
      <c r="A40" s="2" t="s">
        <v>234</v>
      </c>
      <c r="B40" s="8" t="n">
        <v>45918.6458333333</v>
      </c>
      <c r="C40" s="2" t="s">
        <v>126</v>
      </c>
      <c r="D40" s="2" t="s">
        <v>158</v>
      </c>
      <c r="E40" s="2" t="s">
        <v>159</v>
      </c>
      <c r="F40" s="2" t="s">
        <v>160</v>
      </c>
      <c r="G40" s="2" t="s">
        <v>161</v>
      </c>
      <c r="H40" s="2" t="s">
        <v>131</v>
      </c>
      <c r="I40" s="2" t="s">
        <v>132</v>
      </c>
      <c r="J40" s="2" t="s">
        <v>133</v>
      </c>
      <c r="K40" s="2" t="s">
        <v>168</v>
      </c>
      <c r="L40" s="3" t="n">
        <v>1.21</v>
      </c>
      <c r="M40" s="3" t="n">
        <v>0.9</v>
      </c>
      <c r="N40" s="3" t="n">
        <v>8.07</v>
      </c>
      <c r="O40" s="3" t="n">
        <v>9.95</v>
      </c>
      <c r="P40" s="3" t="n">
        <v>14.46</v>
      </c>
      <c r="Q40" s="3" t="n">
        <v>2.35</v>
      </c>
      <c r="R40" s="3" t="n">
        <f aca="false">P40+Q40</f>
        <v>16.81</v>
      </c>
      <c r="S40" s="3" t="n">
        <v>0</v>
      </c>
      <c r="T40" s="3" t="n">
        <v>3.6</v>
      </c>
      <c r="U40" s="3" t="n">
        <v>2.64</v>
      </c>
      <c r="V40" s="4" t="n">
        <f aca="false">IF(P40-(O40/1.21)=0,0,U40/(P40-(O40/1.21)))</f>
        <v>0.423289958391859</v>
      </c>
      <c r="W40" s="2" t="s">
        <v>169</v>
      </c>
      <c r="X40" s="2" t="s">
        <v>146</v>
      </c>
      <c r="Y40" s="2" t="s">
        <v>156</v>
      </c>
      <c r="Z40" s="9" t="n">
        <v>1</v>
      </c>
    </row>
    <row r="41" customFormat="false" ht="15" hidden="false" customHeight="false" outlineLevel="0" collapsed="false">
      <c r="A41" s="5" t="s">
        <v>235</v>
      </c>
      <c r="B41" s="10" t="n">
        <v>45918.90625</v>
      </c>
      <c r="C41" s="5" t="s">
        <v>126</v>
      </c>
      <c r="D41" s="5" t="s">
        <v>202</v>
      </c>
      <c r="E41" s="5" t="s">
        <v>203</v>
      </c>
      <c r="F41" s="5" t="s">
        <v>204</v>
      </c>
      <c r="G41" s="5" t="s">
        <v>205</v>
      </c>
      <c r="H41" s="5" t="s">
        <v>131</v>
      </c>
      <c r="I41" s="5" t="s">
        <v>132</v>
      </c>
      <c r="J41" s="5" t="s">
        <v>133</v>
      </c>
      <c r="K41" s="5"/>
      <c r="L41" s="6" t="n">
        <v>0</v>
      </c>
      <c r="M41" s="6" t="n">
        <v>0.78</v>
      </c>
      <c r="N41" s="6" t="n">
        <v>29.47</v>
      </c>
      <c r="O41" s="6" t="n">
        <v>0</v>
      </c>
      <c r="P41" s="6" t="n">
        <v>26.79</v>
      </c>
      <c r="Q41" s="6" t="n">
        <v>2.68</v>
      </c>
      <c r="R41" s="6" t="n">
        <f aca="false">P41+Q41</f>
        <v>29.47</v>
      </c>
      <c r="S41" s="6" t="n">
        <v>0</v>
      </c>
      <c r="T41" s="6" t="n">
        <v>15.5</v>
      </c>
      <c r="U41" s="6" t="n">
        <v>11.29</v>
      </c>
      <c r="V41" s="7" t="n">
        <f aca="false">IF(P41-(O41/1.21)=0,0,U41/(P41-(O41/1.21)))</f>
        <v>0.421425905188503</v>
      </c>
      <c r="W41" s="5" t="s">
        <v>134</v>
      </c>
      <c r="X41" s="5" t="s">
        <v>135</v>
      </c>
      <c r="Y41" s="5" t="s">
        <v>177</v>
      </c>
      <c r="Z41" s="11" t="n">
        <v>2</v>
      </c>
    </row>
    <row r="42" customFormat="false" ht="15" hidden="false" customHeight="false" outlineLevel="0" collapsed="false">
      <c r="A42" s="2" t="s">
        <v>236</v>
      </c>
      <c r="B42" s="8" t="n">
        <v>45921.78125</v>
      </c>
      <c r="C42" s="2" t="s">
        <v>126</v>
      </c>
      <c r="D42" s="2" t="s">
        <v>217</v>
      </c>
      <c r="E42" s="2" t="s">
        <v>218</v>
      </c>
      <c r="F42" s="2" t="s">
        <v>219</v>
      </c>
      <c r="G42" s="2" t="s">
        <v>220</v>
      </c>
      <c r="H42" s="2" t="s">
        <v>131</v>
      </c>
      <c r="I42" s="2" t="s">
        <v>132</v>
      </c>
      <c r="J42" s="2" t="s">
        <v>133</v>
      </c>
      <c r="K42" s="2"/>
      <c r="L42" s="3" t="n">
        <v>0</v>
      </c>
      <c r="M42" s="3" t="n">
        <v>0</v>
      </c>
      <c r="N42" s="3" t="n">
        <v>44.9</v>
      </c>
      <c r="O42" s="3" t="n">
        <v>4.95</v>
      </c>
      <c r="P42" s="3" t="n">
        <v>41.2</v>
      </c>
      <c r="Q42" s="3" t="n">
        <v>8.65</v>
      </c>
      <c r="R42" s="3" t="n">
        <f aca="false">P42+Q42</f>
        <v>49.85</v>
      </c>
      <c r="S42" s="3" t="n">
        <v>0</v>
      </c>
      <c r="T42" s="3" t="n">
        <v>19</v>
      </c>
      <c r="U42" s="3" t="n">
        <v>18.11</v>
      </c>
      <c r="V42" s="4" t="n">
        <f aca="false">IF(P42-(O42/1.21)=0,0,U42/(P42-(O42/1.21)))</f>
        <v>0.488020578147967</v>
      </c>
      <c r="W42" s="2" t="s">
        <v>169</v>
      </c>
      <c r="X42" s="2" t="s">
        <v>170</v>
      </c>
      <c r="Y42" s="2" t="s">
        <v>154</v>
      </c>
      <c r="Z42" s="9" t="n">
        <v>1</v>
      </c>
    </row>
    <row r="43" customFormat="false" ht="15" hidden="false" customHeight="false" outlineLevel="0" collapsed="false">
      <c r="A43" s="5" t="s">
        <v>237</v>
      </c>
      <c r="B43" s="10" t="n">
        <v>45922.6875</v>
      </c>
      <c r="C43" s="5" t="s">
        <v>126</v>
      </c>
      <c r="D43" s="5" t="s">
        <v>173</v>
      </c>
      <c r="E43" s="5" t="s">
        <v>174</v>
      </c>
      <c r="F43" s="5" t="s">
        <v>175</v>
      </c>
      <c r="G43" s="5" t="s">
        <v>161</v>
      </c>
      <c r="H43" s="5" t="s">
        <v>131</v>
      </c>
      <c r="I43" s="5" t="s">
        <v>231</v>
      </c>
      <c r="J43" s="5" t="s">
        <v>133</v>
      </c>
      <c r="K43" s="5"/>
      <c r="L43" s="6" t="n">
        <v>0</v>
      </c>
      <c r="M43" s="6" t="n">
        <v>0</v>
      </c>
      <c r="N43" s="6" t="n">
        <v>134.25</v>
      </c>
      <c r="O43" s="6" t="n">
        <v>4.95</v>
      </c>
      <c r="P43" s="6" t="n">
        <v>124.08</v>
      </c>
      <c r="Q43" s="6" t="n">
        <v>15.12</v>
      </c>
      <c r="R43" s="6" t="n">
        <f aca="false">P43+Q43</f>
        <v>139.2</v>
      </c>
      <c r="S43" s="6" t="n">
        <v>139.2</v>
      </c>
      <c r="T43" s="6" t="n">
        <v>56.9</v>
      </c>
      <c r="U43" s="6" t="n">
        <v>63.09</v>
      </c>
      <c r="V43" s="7" t="n">
        <f aca="false">IF(P43-(O43/1.21)=0,0,U43/(P43-(O43/1.21)))</f>
        <v>0.525797799799982</v>
      </c>
      <c r="W43" s="5" t="s">
        <v>153</v>
      </c>
      <c r="X43" s="5" t="s">
        <v>170</v>
      </c>
      <c r="Y43" s="5" t="s">
        <v>136</v>
      </c>
      <c r="Z43" s="11" t="n">
        <v>3</v>
      </c>
    </row>
    <row r="44" customFormat="false" ht="15" hidden="false" customHeight="false" outlineLevel="0" collapsed="false">
      <c r="A44" s="2" t="s">
        <v>238</v>
      </c>
      <c r="B44" s="8" t="n">
        <v>45923.6979166667</v>
      </c>
      <c r="C44" s="2" t="s">
        <v>126</v>
      </c>
      <c r="D44" s="2" t="s">
        <v>188</v>
      </c>
      <c r="E44" s="2" t="s">
        <v>189</v>
      </c>
      <c r="F44" s="2" t="s">
        <v>190</v>
      </c>
      <c r="G44" s="2" t="s">
        <v>191</v>
      </c>
      <c r="H44" s="2" t="s">
        <v>131</v>
      </c>
      <c r="I44" s="2" t="s">
        <v>132</v>
      </c>
      <c r="J44" s="2" t="s">
        <v>133</v>
      </c>
      <c r="K44" s="2"/>
      <c r="L44" s="3" t="n">
        <v>0</v>
      </c>
      <c r="M44" s="3" t="n">
        <v>43.35</v>
      </c>
      <c r="N44" s="3" t="n">
        <v>355.45</v>
      </c>
      <c r="O44" s="3" t="n">
        <v>4.95</v>
      </c>
      <c r="P44" s="3" t="n">
        <v>297.85</v>
      </c>
      <c r="Q44" s="3" t="n">
        <v>62.55</v>
      </c>
      <c r="R44" s="3" t="n">
        <f aca="false">P44+Q44</f>
        <v>360.4</v>
      </c>
      <c r="S44" s="3" t="n">
        <v>0</v>
      </c>
      <c r="T44" s="3" t="n">
        <v>184</v>
      </c>
      <c r="U44" s="3" t="n">
        <v>109.76</v>
      </c>
      <c r="V44" s="4" t="n">
        <f aca="false">IF(P44-(O44/1.21)=0,0,U44/(P44-(O44/1.21)))</f>
        <v>0.373639500518359</v>
      </c>
      <c r="W44" s="2" t="s">
        <v>134</v>
      </c>
      <c r="X44" s="2" t="s">
        <v>170</v>
      </c>
      <c r="Y44" s="2" t="s">
        <v>177</v>
      </c>
      <c r="Z44" s="9" t="n">
        <v>2</v>
      </c>
    </row>
    <row r="45" customFormat="false" ht="15" hidden="false" customHeight="false" outlineLevel="0" collapsed="false">
      <c r="A45" s="5" t="s">
        <v>239</v>
      </c>
      <c r="B45" s="10" t="n">
        <v>45926.625</v>
      </c>
      <c r="C45" s="5" t="s">
        <v>126</v>
      </c>
      <c r="D45" s="5" t="s">
        <v>179</v>
      </c>
      <c r="E45" s="5" t="s">
        <v>180</v>
      </c>
      <c r="F45" s="5" t="s">
        <v>181</v>
      </c>
      <c r="G45" s="5" t="s">
        <v>182</v>
      </c>
      <c r="H45" s="5" t="s">
        <v>131</v>
      </c>
      <c r="I45" s="5" t="s">
        <v>132</v>
      </c>
      <c r="J45" s="5" t="s">
        <v>133</v>
      </c>
      <c r="K45" s="5" t="s">
        <v>186</v>
      </c>
      <c r="L45" s="6" t="n">
        <v>0</v>
      </c>
      <c r="M45" s="6" t="n">
        <v>0</v>
      </c>
      <c r="N45" s="6" t="n">
        <v>3.9</v>
      </c>
      <c r="O45" s="6" t="n">
        <v>0</v>
      </c>
      <c r="P45" s="6" t="n">
        <v>3.55</v>
      </c>
      <c r="Q45" s="6" t="n">
        <v>0.35</v>
      </c>
      <c r="R45" s="6" t="n">
        <f aca="false">P45+Q45</f>
        <v>3.9</v>
      </c>
      <c r="S45" s="6" t="n">
        <v>0</v>
      </c>
      <c r="T45" s="6" t="n">
        <v>2.5</v>
      </c>
      <c r="U45" s="6" t="n">
        <v>1.05</v>
      </c>
      <c r="V45" s="7" t="n">
        <f aca="false">IF(P45-(O45/1.21)=0,0,U45/(P45-(O45/1.21)))</f>
        <v>0.295774647887324</v>
      </c>
      <c r="W45" s="5" t="s">
        <v>153</v>
      </c>
      <c r="X45" s="5" t="s">
        <v>135</v>
      </c>
      <c r="Y45" s="5" t="s">
        <v>136</v>
      </c>
      <c r="Z45" s="11" t="n">
        <v>1</v>
      </c>
    </row>
    <row r="46" customFormat="false" ht="15" hidden="false" customHeight="false" outlineLevel="0" collapsed="false">
      <c r="A46" s="2" t="s">
        <v>240</v>
      </c>
      <c r="B46" s="8" t="n">
        <v>45926.65625</v>
      </c>
      <c r="C46" s="2" t="s">
        <v>126</v>
      </c>
      <c r="D46" s="2" t="s">
        <v>179</v>
      </c>
      <c r="E46" s="2" t="s">
        <v>180</v>
      </c>
      <c r="F46" s="2" t="s">
        <v>181</v>
      </c>
      <c r="G46" s="2" t="s">
        <v>182</v>
      </c>
      <c r="H46" s="2" t="s">
        <v>131</v>
      </c>
      <c r="I46" s="2" t="s">
        <v>132</v>
      </c>
      <c r="J46" s="2" t="s">
        <v>133</v>
      </c>
      <c r="K46" s="2"/>
      <c r="L46" s="3" t="n">
        <v>0</v>
      </c>
      <c r="M46" s="3" t="n">
        <v>0</v>
      </c>
      <c r="N46" s="3" t="n">
        <v>824.8</v>
      </c>
      <c r="O46" s="3" t="n">
        <v>0</v>
      </c>
      <c r="P46" s="3" t="n">
        <v>681.65</v>
      </c>
      <c r="Q46" s="3" t="n">
        <v>143.15</v>
      </c>
      <c r="R46" s="3" t="n">
        <f aca="false">P46+Q46</f>
        <v>824.8</v>
      </c>
      <c r="S46" s="3" t="n">
        <v>0</v>
      </c>
      <c r="T46" s="3" t="n">
        <v>554.2</v>
      </c>
      <c r="U46" s="3" t="n">
        <v>127.45</v>
      </c>
      <c r="V46" s="4" t="n">
        <f aca="false">IF(P46-(O46/1.21)=0,0,U46/(P46-(O46/1.21)))</f>
        <v>0.1869727866207</v>
      </c>
      <c r="W46" s="2" t="s">
        <v>134</v>
      </c>
      <c r="X46" s="2" t="s">
        <v>135</v>
      </c>
      <c r="Y46" s="2" t="s">
        <v>156</v>
      </c>
      <c r="Z46" s="9" t="n">
        <v>2</v>
      </c>
    </row>
    <row r="47" customFormat="false" ht="15" hidden="false" customHeight="false" outlineLevel="0" collapsed="false">
      <c r="A47" s="5" t="s">
        <v>241</v>
      </c>
      <c r="B47" s="10" t="n">
        <v>45926.7395833333</v>
      </c>
      <c r="C47" s="5" t="s">
        <v>126</v>
      </c>
      <c r="D47" s="5" t="s">
        <v>139</v>
      </c>
      <c r="E47" s="5" t="s">
        <v>140</v>
      </c>
      <c r="F47" s="5" t="s">
        <v>141</v>
      </c>
      <c r="G47" s="5" t="s">
        <v>142</v>
      </c>
      <c r="H47" s="5" t="s">
        <v>143</v>
      </c>
      <c r="I47" s="5" t="s">
        <v>132</v>
      </c>
      <c r="J47" s="5" t="s">
        <v>133</v>
      </c>
      <c r="K47" s="5"/>
      <c r="L47" s="6" t="n">
        <v>0</v>
      </c>
      <c r="M47" s="6" t="n">
        <v>0</v>
      </c>
      <c r="N47" s="6" t="n">
        <v>213.62</v>
      </c>
      <c r="O47" s="6" t="n">
        <v>0</v>
      </c>
      <c r="P47" s="6" t="n">
        <v>180.59</v>
      </c>
      <c r="Q47" s="6" t="n">
        <v>33.03</v>
      </c>
      <c r="R47" s="6" t="n">
        <f aca="false">P47+Q47</f>
        <v>213.62</v>
      </c>
      <c r="S47" s="6" t="n">
        <v>0</v>
      </c>
      <c r="T47" s="6" t="n">
        <v>87.7</v>
      </c>
      <c r="U47" s="6" t="n">
        <v>92.89</v>
      </c>
      <c r="V47" s="7" t="n">
        <f aca="false">IF(P47-(O47/1.21)=0,0,U47/(P47-(O47/1.21)))</f>
        <v>0.514369566421175</v>
      </c>
      <c r="W47" s="5" t="s">
        <v>145</v>
      </c>
      <c r="X47" s="5" t="s">
        <v>135</v>
      </c>
      <c r="Y47" s="5" t="s">
        <v>156</v>
      </c>
      <c r="Z47" s="11" t="n">
        <v>3</v>
      </c>
    </row>
    <row r="48" customFormat="false" ht="15" hidden="false" customHeight="false" outlineLevel="0" collapsed="false">
      <c r="A48" s="2" t="s">
        <v>242</v>
      </c>
      <c r="B48" s="8" t="n">
        <v>45927.5625</v>
      </c>
      <c r="C48" s="2" t="s">
        <v>172</v>
      </c>
      <c r="D48" s="2" t="s">
        <v>164</v>
      </c>
      <c r="E48" s="2" t="s">
        <v>165</v>
      </c>
      <c r="F48" s="2" t="s">
        <v>166</v>
      </c>
      <c r="G48" s="2" t="s">
        <v>167</v>
      </c>
      <c r="H48" s="2" t="s">
        <v>131</v>
      </c>
      <c r="I48" s="2" t="s">
        <v>132</v>
      </c>
      <c r="J48" s="2" t="s">
        <v>133</v>
      </c>
      <c r="K48" s="2" t="s">
        <v>168</v>
      </c>
      <c r="L48" s="3" t="n">
        <v>12.14</v>
      </c>
      <c r="M48" s="3" t="n">
        <v>8.99</v>
      </c>
      <c r="N48" s="3" t="n">
        <v>80.91</v>
      </c>
      <c r="O48" s="3" t="n">
        <v>0</v>
      </c>
      <c r="P48" s="3" t="n">
        <v>56.83</v>
      </c>
      <c r="Q48" s="3" t="n">
        <v>11.94</v>
      </c>
      <c r="R48" s="3" t="n">
        <f aca="false">P48+Q48</f>
        <v>68.77</v>
      </c>
      <c r="S48" s="3" t="n">
        <v>0</v>
      </c>
      <c r="T48" s="3" t="n">
        <v>48</v>
      </c>
      <c r="U48" s="3" t="n">
        <v>8.83</v>
      </c>
      <c r="V48" s="4" t="n">
        <f aca="false">IF(P48-(O48/1.21)=0,0,U48/(P48-(O48/1.21)))</f>
        <v>0.155375681858174</v>
      </c>
      <c r="W48" s="2" t="s">
        <v>169</v>
      </c>
      <c r="X48" s="2" t="s">
        <v>135</v>
      </c>
      <c r="Y48" s="2" t="s">
        <v>154</v>
      </c>
      <c r="Z48" s="9" t="n">
        <v>1</v>
      </c>
    </row>
    <row r="49" customFormat="false" ht="15" hidden="false" customHeight="false" outlineLevel="0" collapsed="false">
      <c r="A49" s="5" t="s">
        <v>243</v>
      </c>
      <c r="B49" s="10" t="n">
        <v>45927.8645833333</v>
      </c>
      <c r="C49" s="5" t="s">
        <v>138</v>
      </c>
      <c r="D49" s="5" t="s">
        <v>164</v>
      </c>
      <c r="E49" s="5" t="s">
        <v>165</v>
      </c>
      <c r="F49" s="5" t="s">
        <v>166</v>
      </c>
      <c r="G49" s="5" t="s">
        <v>167</v>
      </c>
      <c r="H49" s="5" t="s">
        <v>131</v>
      </c>
      <c r="I49" s="5" t="s">
        <v>185</v>
      </c>
      <c r="J49" s="5" t="s">
        <v>185</v>
      </c>
      <c r="K49" s="5" t="s">
        <v>200</v>
      </c>
      <c r="L49" s="6" t="n">
        <v>5.52</v>
      </c>
      <c r="M49" s="6" t="n">
        <v>9.74</v>
      </c>
      <c r="N49" s="6" t="n">
        <v>55.16</v>
      </c>
      <c r="O49" s="6" t="n">
        <v>9.95</v>
      </c>
      <c r="P49" s="6" t="n">
        <v>49.24</v>
      </c>
      <c r="Q49" s="6" t="n">
        <v>10.35</v>
      </c>
      <c r="R49" s="6" t="n">
        <f aca="false">P49+Q49</f>
        <v>59.59</v>
      </c>
      <c r="S49" s="6" t="n">
        <v>0</v>
      </c>
      <c r="T49" s="6" t="n">
        <v>28</v>
      </c>
      <c r="U49" s="6" t="n">
        <v>13.02</v>
      </c>
      <c r="V49" s="7" t="n">
        <f aca="false">IF(P49-(O49/1.21)=0,0,U49/(P49-(O49/1.21)))</f>
        <v>0.317430445855766</v>
      </c>
      <c r="W49" s="5" t="s">
        <v>162</v>
      </c>
      <c r="X49" s="5" t="s">
        <v>146</v>
      </c>
      <c r="Y49" s="5" t="s">
        <v>136</v>
      </c>
      <c r="Z49" s="11" t="n">
        <v>1</v>
      </c>
    </row>
    <row r="50" customFormat="false" ht="15" hidden="false" customHeight="false" outlineLevel="0" collapsed="false">
      <c r="A50" s="2" t="s">
        <v>244</v>
      </c>
      <c r="B50" s="8" t="n">
        <v>45929.6875</v>
      </c>
      <c r="C50" s="2" t="s">
        <v>148</v>
      </c>
      <c r="D50" s="2" t="s">
        <v>139</v>
      </c>
      <c r="E50" s="2" t="s">
        <v>140</v>
      </c>
      <c r="F50" s="2" t="s">
        <v>141</v>
      </c>
      <c r="G50" s="2" t="s">
        <v>142</v>
      </c>
      <c r="H50" s="2" t="s">
        <v>143</v>
      </c>
      <c r="I50" s="2" t="s">
        <v>132</v>
      </c>
      <c r="J50" s="2" t="s">
        <v>133</v>
      </c>
      <c r="K50" s="2" t="s">
        <v>200</v>
      </c>
      <c r="L50" s="3" t="n">
        <v>79.39</v>
      </c>
      <c r="M50" s="3" t="n">
        <v>0</v>
      </c>
      <c r="N50" s="3" t="n">
        <v>793.9</v>
      </c>
      <c r="O50" s="3" t="n">
        <v>4.95</v>
      </c>
      <c r="P50" s="3" t="n">
        <v>594.59</v>
      </c>
      <c r="Q50" s="3" t="n">
        <v>124.87</v>
      </c>
      <c r="R50" s="3" t="n">
        <f aca="false">P50+Q50</f>
        <v>719.46</v>
      </c>
      <c r="S50" s="3" t="n">
        <v>0</v>
      </c>
      <c r="T50" s="3" t="n">
        <v>362</v>
      </c>
      <c r="U50" s="3" t="n">
        <v>228.5</v>
      </c>
      <c r="V50" s="4" t="n">
        <f aca="false">IF(P50-(O50/1.21)=0,0,U50/(P50-(O50/1.21)))</f>
        <v>0.386960798954351</v>
      </c>
      <c r="W50" s="2" t="s">
        <v>145</v>
      </c>
      <c r="X50" s="2" t="s">
        <v>170</v>
      </c>
      <c r="Y50" s="2" t="s">
        <v>156</v>
      </c>
      <c r="Z50" s="9" t="n">
        <v>2</v>
      </c>
    </row>
    <row r="51" customFormat="false" ht="15" hidden="false" customHeight="false" outlineLevel="0" collapsed="false">
      <c r="A51" s="5" t="s">
        <v>245</v>
      </c>
      <c r="B51" s="10" t="n">
        <v>45931.7395833333</v>
      </c>
      <c r="C51" s="5" t="s">
        <v>126</v>
      </c>
      <c r="D51" s="5" t="s">
        <v>139</v>
      </c>
      <c r="E51" s="5" t="s">
        <v>140</v>
      </c>
      <c r="F51" s="5" t="s">
        <v>141</v>
      </c>
      <c r="G51" s="5" t="s">
        <v>142</v>
      </c>
      <c r="H51" s="5" t="s">
        <v>143</v>
      </c>
      <c r="I51" s="5" t="s">
        <v>132</v>
      </c>
      <c r="J51" s="5" t="s">
        <v>133</v>
      </c>
      <c r="K51" s="5"/>
      <c r="L51" s="6" t="n">
        <v>0</v>
      </c>
      <c r="M51" s="6" t="n">
        <v>0</v>
      </c>
      <c r="N51" s="6" t="n">
        <v>24.9</v>
      </c>
      <c r="O51" s="6" t="n">
        <v>9.95</v>
      </c>
      <c r="P51" s="6" t="n">
        <v>28.8</v>
      </c>
      <c r="Q51" s="6" t="n">
        <v>6.05</v>
      </c>
      <c r="R51" s="6" t="n">
        <f aca="false">P51+Q51</f>
        <v>34.85</v>
      </c>
      <c r="S51" s="6" t="n">
        <v>0</v>
      </c>
      <c r="T51" s="6" t="n">
        <v>8.5</v>
      </c>
      <c r="U51" s="6" t="n">
        <v>12.08</v>
      </c>
      <c r="V51" s="7" t="n">
        <f aca="false">IF(P51-(O51/1.21)=0,0,U51/(P51-(O51/1.21)))</f>
        <v>0.587067234316009</v>
      </c>
      <c r="W51" s="5" t="s">
        <v>162</v>
      </c>
      <c r="X51" s="5" t="s">
        <v>146</v>
      </c>
      <c r="Y51" s="5" t="s">
        <v>156</v>
      </c>
      <c r="Z51" s="11" t="n">
        <v>1</v>
      </c>
    </row>
    <row r="52" customFormat="false" ht="15" hidden="false" customHeight="false" outlineLevel="0" collapsed="false">
      <c r="A52" s="2" t="s">
        <v>246</v>
      </c>
      <c r="B52" s="8" t="n">
        <v>45933.40625</v>
      </c>
      <c r="C52" s="2" t="s">
        <v>172</v>
      </c>
      <c r="D52" s="2" t="s">
        <v>217</v>
      </c>
      <c r="E52" s="2" t="s">
        <v>218</v>
      </c>
      <c r="F52" s="2" t="s">
        <v>219</v>
      </c>
      <c r="G52" s="2" t="s">
        <v>220</v>
      </c>
      <c r="H52" s="2" t="s">
        <v>131</v>
      </c>
      <c r="I52" s="2" t="s">
        <v>132</v>
      </c>
      <c r="J52" s="2" t="s">
        <v>133</v>
      </c>
      <c r="K52" s="2"/>
      <c r="L52" s="3" t="n">
        <v>0</v>
      </c>
      <c r="M52" s="3" t="n">
        <v>0</v>
      </c>
      <c r="N52" s="3" t="n">
        <v>18.9</v>
      </c>
      <c r="O52" s="3" t="n">
        <v>0</v>
      </c>
      <c r="P52" s="3" t="n">
        <v>15.62</v>
      </c>
      <c r="Q52" s="3" t="n">
        <v>3.28</v>
      </c>
      <c r="R52" s="3" t="n">
        <f aca="false">P52+Q52</f>
        <v>18.9</v>
      </c>
      <c r="S52" s="3" t="n">
        <v>0</v>
      </c>
      <c r="T52" s="3" t="n">
        <v>6.5</v>
      </c>
      <c r="U52" s="3" t="n">
        <v>9.12</v>
      </c>
      <c r="V52" s="4" t="n">
        <f aca="false">IF(P52-(O52/1.21)=0,0,U52/(P52-(O52/1.21)))</f>
        <v>0.583866837387964</v>
      </c>
      <c r="W52" s="2" t="s">
        <v>134</v>
      </c>
      <c r="X52" s="2" t="s">
        <v>135</v>
      </c>
      <c r="Y52" s="2" t="s">
        <v>136</v>
      </c>
      <c r="Z52" s="9" t="n">
        <v>1</v>
      </c>
    </row>
    <row r="53" customFormat="false" ht="15" hidden="false" customHeight="false" outlineLevel="0" collapsed="false">
      <c r="A53" s="5" t="s">
        <v>247</v>
      </c>
      <c r="B53" s="10" t="n">
        <v>45933.6354166667</v>
      </c>
      <c r="C53" s="5" t="s">
        <v>138</v>
      </c>
      <c r="D53" s="5" t="s">
        <v>188</v>
      </c>
      <c r="E53" s="5" t="s">
        <v>189</v>
      </c>
      <c r="F53" s="5" t="s">
        <v>190</v>
      </c>
      <c r="G53" s="5" t="s">
        <v>191</v>
      </c>
      <c r="H53" s="5" t="s">
        <v>131</v>
      </c>
      <c r="I53" s="5" t="s">
        <v>132</v>
      </c>
      <c r="J53" s="5" t="s">
        <v>133</v>
      </c>
      <c r="K53" s="5" t="s">
        <v>168</v>
      </c>
      <c r="L53" s="6" t="n">
        <v>13.48</v>
      </c>
      <c r="M53" s="6" t="n">
        <v>0</v>
      </c>
      <c r="N53" s="6" t="n">
        <v>89.9</v>
      </c>
      <c r="O53" s="6" t="n">
        <v>4.95</v>
      </c>
      <c r="P53" s="6" t="n">
        <v>67.25</v>
      </c>
      <c r="Q53" s="6" t="n">
        <v>14.12</v>
      </c>
      <c r="R53" s="6" t="n">
        <f aca="false">P53+Q53</f>
        <v>81.37</v>
      </c>
      <c r="S53" s="6" t="n">
        <v>0</v>
      </c>
      <c r="T53" s="6" t="n">
        <v>48</v>
      </c>
      <c r="U53" s="6" t="n">
        <v>15.16</v>
      </c>
      <c r="V53" s="7" t="n">
        <f aca="false">IF(P53-(O53/1.21)=0,0,U53/(P53-(O53/1.21)))</f>
        <v>0.240028787333573</v>
      </c>
      <c r="W53" s="5" t="s">
        <v>153</v>
      </c>
      <c r="X53" s="5" t="s">
        <v>170</v>
      </c>
      <c r="Y53" s="5" t="s">
        <v>154</v>
      </c>
      <c r="Z53" s="11" t="n">
        <v>1</v>
      </c>
    </row>
    <row r="54" customFormat="false" ht="15" hidden="false" customHeight="false" outlineLevel="0" collapsed="false">
      <c r="A54" s="2" t="s">
        <v>248</v>
      </c>
      <c r="B54" s="8" t="n">
        <v>45935.3958333333</v>
      </c>
      <c r="C54" s="2" t="s">
        <v>126</v>
      </c>
      <c r="D54" s="2" t="s">
        <v>202</v>
      </c>
      <c r="E54" s="2" t="s">
        <v>203</v>
      </c>
      <c r="F54" s="2" t="s">
        <v>204</v>
      </c>
      <c r="G54" s="2" t="s">
        <v>205</v>
      </c>
      <c r="H54" s="2" t="s">
        <v>131</v>
      </c>
      <c r="I54" s="2" t="s">
        <v>132</v>
      </c>
      <c r="J54" s="2" t="s">
        <v>133</v>
      </c>
      <c r="K54" s="2"/>
      <c r="L54" s="3" t="n">
        <v>0</v>
      </c>
      <c r="M54" s="3" t="n">
        <v>1.14</v>
      </c>
      <c r="N54" s="3" t="n">
        <v>460.56</v>
      </c>
      <c r="O54" s="3" t="n">
        <v>0</v>
      </c>
      <c r="P54" s="3" t="n">
        <v>380.62</v>
      </c>
      <c r="Q54" s="3" t="n">
        <v>79.94</v>
      </c>
      <c r="R54" s="3" t="n">
        <f aca="false">P54+Q54</f>
        <v>460.56</v>
      </c>
      <c r="S54" s="3" t="n">
        <v>0</v>
      </c>
      <c r="T54" s="3" t="n">
        <v>288.8</v>
      </c>
      <c r="U54" s="3" t="n">
        <v>91.82</v>
      </c>
      <c r="V54" s="4" t="n">
        <f aca="false">IF(P54-(O54/1.21)=0,0,U54/(P54-(O54/1.21)))</f>
        <v>0.24123798013767</v>
      </c>
      <c r="W54" s="2" t="s">
        <v>162</v>
      </c>
      <c r="X54" s="2" t="s">
        <v>135</v>
      </c>
      <c r="Y54" s="2" t="s">
        <v>177</v>
      </c>
      <c r="Z54" s="9" t="n">
        <v>3</v>
      </c>
    </row>
    <row r="55" customFormat="false" ht="15" hidden="false" customHeight="false" outlineLevel="0" collapsed="false">
      <c r="A55" s="5" t="s">
        <v>249</v>
      </c>
      <c r="B55" s="10" t="n">
        <v>45935.6666666667</v>
      </c>
      <c r="C55" s="5" t="s">
        <v>172</v>
      </c>
      <c r="D55" s="5" t="s">
        <v>139</v>
      </c>
      <c r="E55" s="5" t="s">
        <v>140</v>
      </c>
      <c r="F55" s="5" t="s">
        <v>141</v>
      </c>
      <c r="G55" s="5" t="s">
        <v>142</v>
      </c>
      <c r="H55" s="5" t="s">
        <v>143</v>
      </c>
      <c r="I55" s="5" t="s">
        <v>132</v>
      </c>
      <c r="J55" s="5" t="s">
        <v>133</v>
      </c>
      <c r="K55" s="5"/>
      <c r="L55" s="6" t="n">
        <v>0</v>
      </c>
      <c r="M55" s="6" t="n">
        <v>0</v>
      </c>
      <c r="N55" s="6" t="n">
        <v>44.8</v>
      </c>
      <c r="O55" s="6" t="n">
        <v>4.95</v>
      </c>
      <c r="P55" s="6" t="n">
        <v>41.12</v>
      </c>
      <c r="Q55" s="6" t="n">
        <v>8.63</v>
      </c>
      <c r="R55" s="6" t="n">
        <f aca="false">P55+Q55</f>
        <v>49.75</v>
      </c>
      <c r="S55" s="6" t="n">
        <v>0</v>
      </c>
      <c r="T55" s="6" t="n">
        <v>15.5</v>
      </c>
      <c r="U55" s="6" t="n">
        <v>21.53</v>
      </c>
      <c r="V55" s="7" t="n">
        <f aca="false">IF(P55-(O55/1.21)=0,0,U55/(P55-(O55/1.21)))</f>
        <v>0.581434744181479</v>
      </c>
      <c r="W55" s="5" t="s">
        <v>145</v>
      </c>
      <c r="X55" s="5" t="s">
        <v>170</v>
      </c>
      <c r="Y55" s="5" t="s">
        <v>177</v>
      </c>
      <c r="Z55" s="11" t="n">
        <v>2</v>
      </c>
    </row>
    <row r="56" customFormat="false" ht="15" hidden="false" customHeight="false" outlineLevel="0" collapsed="false">
      <c r="A56" s="2" t="s">
        <v>250</v>
      </c>
      <c r="B56" s="8" t="n">
        <v>45938.4166666667</v>
      </c>
      <c r="C56" s="2" t="s">
        <v>138</v>
      </c>
      <c r="D56" s="2" t="s">
        <v>149</v>
      </c>
      <c r="E56" s="2" t="s">
        <v>150</v>
      </c>
      <c r="F56" s="2" t="s">
        <v>151</v>
      </c>
      <c r="G56" s="2" t="s">
        <v>152</v>
      </c>
      <c r="H56" s="2" t="s">
        <v>131</v>
      </c>
      <c r="I56" s="2" t="s">
        <v>132</v>
      </c>
      <c r="J56" s="2" t="s">
        <v>133</v>
      </c>
      <c r="K56" s="2"/>
      <c r="L56" s="3" t="n">
        <v>0</v>
      </c>
      <c r="M56" s="3" t="n">
        <v>5.67</v>
      </c>
      <c r="N56" s="3" t="n">
        <v>51.03</v>
      </c>
      <c r="O56" s="3" t="n">
        <v>9.95</v>
      </c>
      <c r="P56" s="3" t="n">
        <v>50.39</v>
      </c>
      <c r="Q56" s="3" t="n">
        <v>10.59</v>
      </c>
      <c r="R56" s="3" t="n">
        <f aca="false">P56+Q56</f>
        <v>60.98</v>
      </c>
      <c r="S56" s="3" t="n">
        <v>0</v>
      </c>
      <c r="T56" s="3" t="n">
        <v>19.5</v>
      </c>
      <c r="U56" s="3" t="n">
        <v>22.67</v>
      </c>
      <c r="V56" s="4" t="n">
        <f aca="false">IF(P56-(O56/1.21)=0,0,U56/(P56-(O56/1.21)))</f>
        <v>0.537625999815765</v>
      </c>
      <c r="W56" s="2" t="s">
        <v>134</v>
      </c>
      <c r="X56" s="2" t="s">
        <v>146</v>
      </c>
      <c r="Y56" s="2" t="s">
        <v>156</v>
      </c>
      <c r="Z56" s="9" t="n">
        <v>1</v>
      </c>
    </row>
    <row r="57" customFormat="false" ht="15" hidden="false" customHeight="false" outlineLevel="0" collapsed="false">
      <c r="A57" s="5" t="s">
        <v>251</v>
      </c>
      <c r="B57" s="10" t="n">
        <v>45941.8125</v>
      </c>
      <c r="C57" s="5" t="s">
        <v>126</v>
      </c>
      <c r="D57" s="5" t="s">
        <v>217</v>
      </c>
      <c r="E57" s="5" t="s">
        <v>218</v>
      </c>
      <c r="F57" s="5" t="s">
        <v>219</v>
      </c>
      <c r="G57" s="5" t="s">
        <v>220</v>
      </c>
      <c r="H57" s="5" t="s">
        <v>131</v>
      </c>
      <c r="I57" s="5" t="s">
        <v>132</v>
      </c>
      <c r="J57" s="5" t="s">
        <v>133</v>
      </c>
      <c r="K57" s="5"/>
      <c r="L57" s="6" t="n">
        <v>0</v>
      </c>
      <c r="M57" s="6" t="n">
        <v>2.49</v>
      </c>
      <c r="N57" s="6" t="n">
        <v>25.4</v>
      </c>
      <c r="O57" s="6" t="n">
        <v>0</v>
      </c>
      <c r="P57" s="6" t="n">
        <v>21.24</v>
      </c>
      <c r="Q57" s="6" t="n">
        <v>4.16</v>
      </c>
      <c r="R57" s="6" t="n">
        <f aca="false">P57+Q57</f>
        <v>25.4</v>
      </c>
      <c r="S57" s="6" t="n">
        <v>0</v>
      </c>
      <c r="T57" s="6" t="n">
        <v>11</v>
      </c>
      <c r="U57" s="6" t="n">
        <v>10.24</v>
      </c>
      <c r="V57" s="7" t="n">
        <f aca="false">IF(P57-(O57/1.21)=0,0,U57/(P57-(O57/1.21)))</f>
        <v>0.48210922787194</v>
      </c>
      <c r="W57" s="5" t="s">
        <v>169</v>
      </c>
      <c r="X57" s="5" t="s">
        <v>135</v>
      </c>
      <c r="Y57" s="5" t="s">
        <v>156</v>
      </c>
      <c r="Z57" s="11" t="n">
        <v>2</v>
      </c>
    </row>
    <row r="58" customFormat="false" ht="15" hidden="false" customHeight="false" outlineLevel="0" collapsed="false">
      <c r="A58" s="2" t="s">
        <v>252</v>
      </c>
      <c r="B58" s="8" t="n">
        <v>45943.375</v>
      </c>
      <c r="C58" s="2" t="s">
        <v>126</v>
      </c>
      <c r="D58" s="2" t="s">
        <v>188</v>
      </c>
      <c r="E58" s="2" t="s">
        <v>189</v>
      </c>
      <c r="F58" s="2" t="s">
        <v>190</v>
      </c>
      <c r="G58" s="2" t="s">
        <v>191</v>
      </c>
      <c r="H58" s="2" t="s">
        <v>131</v>
      </c>
      <c r="I58" s="2" t="s">
        <v>132</v>
      </c>
      <c r="J58" s="2" t="s">
        <v>133</v>
      </c>
      <c r="K58" s="2" t="s">
        <v>186</v>
      </c>
      <c r="L58" s="3" t="n">
        <v>0</v>
      </c>
      <c r="M58" s="3" t="n">
        <v>0</v>
      </c>
      <c r="N58" s="3" t="n">
        <v>3.9</v>
      </c>
      <c r="O58" s="3" t="n">
        <v>0</v>
      </c>
      <c r="P58" s="3" t="n">
        <v>3.55</v>
      </c>
      <c r="Q58" s="3" t="n">
        <v>0.35</v>
      </c>
      <c r="R58" s="3" t="n">
        <f aca="false">P58+Q58</f>
        <v>3.9</v>
      </c>
      <c r="S58" s="3" t="n">
        <v>0</v>
      </c>
      <c r="T58" s="3" t="n">
        <v>2.5</v>
      </c>
      <c r="U58" s="3" t="n">
        <v>1.05</v>
      </c>
      <c r="V58" s="4" t="n">
        <f aca="false">IF(P58-(O58/1.21)=0,0,U58/(P58-(O58/1.21)))</f>
        <v>0.295774647887324</v>
      </c>
      <c r="W58" s="2" t="s">
        <v>162</v>
      </c>
      <c r="X58" s="2" t="s">
        <v>146</v>
      </c>
      <c r="Y58" s="2" t="s">
        <v>136</v>
      </c>
      <c r="Z58" s="9" t="n">
        <v>1</v>
      </c>
    </row>
    <row r="59" customFormat="false" ht="15" hidden="false" customHeight="false" outlineLevel="0" collapsed="false">
      <c r="A59" s="5" t="s">
        <v>253</v>
      </c>
      <c r="B59" s="10" t="n">
        <v>45943.4166666667</v>
      </c>
      <c r="C59" s="5" t="s">
        <v>126</v>
      </c>
      <c r="D59" s="5" t="s">
        <v>179</v>
      </c>
      <c r="E59" s="5" t="s">
        <v>180</v>
      </c>
      <c r="F59" s="5" t="s">
        <v>181</v>
      </c>
      <c r="G59" s="5" t="s">
        <v>182</v>
      </c>
      <c r="H59" s="5" t="s">
        <v>131</v>
      </c>
      <c r="I59" s="5" t="s">
        <v>176</v>
      </c>
      <c r="J59" s="5" t="s">
        <v>133</v>
      </c>
      <c r="K59" s="5"/>
      <c r="L59" s="6" t="n">
        <v>0</v>
      </c>
      <c r="M59" s="6" t="n">
        <v>0</v>
      </c>
      <c r="N59" s="6" t="n">
        <v>38.7</v>
      </c>
      <c r="O59" s="6" t="n">
        <v>4.95</v>
      </c>
      <c r="P59" s="6" t="n">
        <v>36.07</v>
      </c>
      <c r="Q59" s="6" t="n">
        <v>7.58</v>
      </c>
      <c r="R59" s="6" t="n">
        <f aca="false">P59+Q59</f>
        <v>43.65</v>
      </c>
      <c r="S59" s="6" t="n">
        <v>38.7</v>
      </c>
      <c r="T59" s="6" t="n">
        <v>6.3</v>
      </c>
      <c r="U59" s="6" t="n">
        <v>25.68</v>
      </c>
      <c r="V59" s="7" t="n">
        <f aca="false">IF(P59-(O59/1.21)=0,0,U59/(P59-(O59/1.21)))</f>
        <v>0.803024703641584</v>
      </c>
      <c r="W59" s="5" t="s">
        <v>169</v>
      </c>
      <c r="X59" s="5" t="s">
        <v>170</v>
      </c>
      <c r="Y59" s="5" t="s">
        <v>136</v>
      </c>
      <c r="Z59" s="11" t="n">
        <v>1</v>
      </c>
    </row>
    <row r="60" customFormat="false" ht="15" hidden="false" customHeight="false" outlineLevel="0" collapsed="false">
      <c r="A60" s="2" t="s">
        <v>254</v>
      </c>
      <c r="B60" s="8" t="n">
        <v>45945.5833333333</v>
      </c>
      <c r="C60" s="2" t="s">
        <v>148</v>
      </c>
      <c r="D60" s="2" t="s">
        <v>223</v>
      </c>
      <c r="E60" s="2" t="s">
        <v>224</v>
      </c>
      <c r="F60" s="2" t="s">
        <v>225</v>
      </c>
      <c r="G60" s="2" t="s">
        <v>226</v>
      </c>
      <c r="H60" s="2" t="s">
        <v>131</v>
      </c>
      <c r="I60" s="2" t="s">
        <v>132</v>
      </c>
      <c r="J60" s="2" t="s">
        <v>133</v>
      </c>
      <c r="K60" s="2"/>
      <c r="L60" s="3" t="n">
        <v>0</v>
      </c>
      <c r="M60" s="3" t="n">
        <v>4.5</v>
      </c>
      <c r="N60" s="3" t="n">
        <v>158.1</v>
      </c>
      <c r="O60" s="3" t="n">
        <v>0</v>
      </c>
      <c r="P60" s="3" t="n">
        <v>130.66</v>
      </c>
      <c r="Q60" s="3" t="n">
        <v>27.44</v>
      </c>
      <c r="R60" s="3" t="n">
        <f aca="false">P60+Q60</f>
        <v>158.1</v>
      </c>
      <c r="S60" s="3" t="n">
        <v>0</v>
      </c>
      <c r="T60" s="3" t="n">
        <v>75</v>
      </c>
      <c r="U60" s="3" t="n">
        <v>55.66</v>
      </c>
      <c r="V60" s="4" t="n">
        <f aca="false">IF(P60-(O60/1.21)=0,0,U60/(P60-(O60/1.21)))</f>
        <v>0.42599112199602</v>
      </c>
      <c r="W60" s="2" t="s">
        <v>134</v>
      </c>
      <c r="X60" s="2" t="s">
        <v>135</v>
      </c>
      <c r="Y60" s="2" t="s">
        <v>156</v>
      </c>
      <c r="Z60" s="9" t="n">
        <v>3</v>
      </c>
    </row>
    <row r="61" customFormat="false" ht="15" hidden="false" customHeight="false" outlineLevel="0" collapsed="false">
      <c r="A61" s="5" t="s">
        <v>255</v>
      </c>
      <c r="B61" s="10" t="n">
        <v>45946.6770833333</v>
      </c>
      <c r="C61" s="5" t="s">
        <v>126</v>
      </c>
      <c r="D61" s="5" t="s">
        <v>127</v>
      </c>
      <c r="E61" s="5" t="s">
        <v>128</v>
      </c>
      <c r="F61" s="5" t="s">
        <v>129</v>
      </c>
      <c r="G61" s="5" t="s">
        <v>130</v>
      </c>
      <c r="H61" s="5" t="s">
        <v>131</v>
      </c>
      <c r="I61" s="5" t="s">
        <v>132</v>
      </c>
      <c r="J61" s="5" t="s">
        <v>133</v>
      </c>
      <c r="K61" s="5" t="s">
        <v>186</v>
      </c>
      <c r="L61" s="6" t="n">
        <v>0</v>
      </c>
      <c r="M61" s="6" t="n">
        <v>0.9</v>
      </c>
      <c r="N61" s="6" t="n">
        <v>225.67</v>
      </c>
      <c r="O61" s="6" t="n">
        <v>0</v>
      </c>
      <c r="P61" s="6" t="n">
        <v>187.42</v>
      </c>
      <c r="Q61" s="6" t="n">
        <v>38.25</v>
      </c>
      <c r="R61" s="6" t="n">
        <f aca="false">P61+Q61</f>
        <v>225.67</v>
      </c>
      <c r="S61" s="6" t="n">
        <v>0</v>
      </c>
      <c r="T61" s="6" t="n">
        <v>91.4</v>
      </c>
      <c r="U61" s="6" t="n">
        <v>96.02</v>
      </c>
      <c r="V61" s="7" t="n">
        <f aca="false">IF(P61-(O61/1.21)=0,0,U61/(P61-(O61/1.21)))</f>
        <v>0.512325258777078</v>
      </c>
      <c r="W61" s="5" t="s">
        <v>134</v>
      </c>
      <c r="X61" s="5" t="s">
        <v>135</v>
      </c>
      <c r="Y61" s="5" t="s">
        <v>156</v>
      </c>
      <c r="Z61" s="11" t="n">
        <v>4</v>
      </c>
    </row>
    <row r="62" customFormat="false" ht="15" hidden="false" customHeight="false" outlineLevel="0" collapsed="false">
      <c r="A62" s="2" t="s">
        <v>256</v>
      </c>
      <c r="B62" s="8" t="n">
        <v>45947.65625</v>
      </c>
      <c r="C62" s="2" t="s">
        <v>138</v>
      </c>
      <c r="D62" s="2" t="s">
        <v>149</v>
      </c>
      <c r="E62" s="2" t="s">
        <v>150</v>
      </c>
      <c r="F62" s="2" t="s">
        <v>151</v>
      </c>
      <c r="G62" s="2" t="s">
        <v>152</v>
      </c>
      <c r="H62" s="2" t="s">
        <v>131</v>
      </c>
      <c r="I62" s="2" t="s">
        <v>132</v>
      </c>
      <c r="J62" s="2" t="s">
        <v>133</v>
      </c>
      <c r="K62" s="2"/>
      <c r="L62" s="3" t="n">
        <v>0</v>
      </c>
      <c r="M62" s="3" t="n">
        <v>0</v>
      </c>
      <c r="N62" s="3" t="n">
        <v>14.97</v>
      </c>
      <c r="O62" s="3" t="n">
        <v>9.95</v>
      </c>
      <c r="P62" s="3" t="n">
        <v>21.83</v>
      </c>
      <c r="Q62" s="3" t="n">
        <v>3.09</v>
      </c>
      <c r="R62" s="3" t="n">
        <f aca="false">P62+Q62</f>
        <v>24.92</v>
      </c>
      <c r="S62" s="3" t="n">
        <v>0</v>
      </c>
      <c r="T62" s="3" t="n">
        <v>6.9</v>
      </c>
      <c r="U62" s="3" t="n">
        <v>6.71</v>
      </c>
      <c r="V62" s="4" t="n">
        <f aca="false">IF(P62-(O62/1.21)=0,0,U62/(P62-(O62/1.21)))</f>
        <v>0.493133628517459</v>
      </c>
      <c r="W62" s="2" t="s">
        <v>162</v>
      </c>
      <c r="X62" s="2" t="s">
        <v>146</v>
      </c>
      <c r="Y62" s="2" t="s">
        <v>154</v>
      </c>
      <c r="Z62" s="9" t="n">
        <v>1</v>
      </c>
    </row>
    <row r="63" customFormat="false" ht="15" hidden="false" customHeight="false" outlineLevel="0" collapsed="false">
      <c r="A63" s="5" t="s">
        <v>257</v>
      </c>
      <c r="B63" s="10" t="n">
        <v>45948.53125</v>
      </c>
      <c r="C63" s="5" t="s">
        <v>126</v>
      </c>
      <c r="D63" s="5" t="s">
        <v>258</v>
      </c>
      <c r="E63" s="5" t="s">
        <v>259</v>
      </c>
      <c r="F63" s="5" t="s">
        <v>260</v>
      </c>
      <c r="G63" s="5" t="s">
        <v>261</v>
      </c>
      <c r="H63" s="5" t="s">
        <v>131</v>
      </c>
      <c r="I63" s="5" t="s">
        <v>132</v>
      </c>
      <c r="J63" s="5" t="s">
        <v>133</v>
      </c>
      <c r="K63" s="5" t="s">
        <v>200</v>
      </c>
      <c r="L63" s="6" t="n">
        <v>157.98</v>
      </c>
      <c r="M63" s="6" t="n">
        <v>240.07</v>
      </c>
      <c r="N63" s="6" t="n">
        <v>1579.8</v>
      </c>
      <c r="O63" s="6" t="n">
        <v>9.95</v>
      </c>
      <c r="P63" s="6" t="n">
        <v>1184.68</v>
      </c>
      <c r="Q63" s="6" t="n">
        <v>247.09</v>
      </c>
      <c r="R63" s="6" t="n">
        <f aca="false">P63+Q63</f>
        <v>1431.77</v>
      </c>
      <c r="S63" s="6" t="n">
        <v>0</v>
      </c>
      <c r="T63" s="6" t="n">
        <v>1197</v>
      </c>
      <c r="U63" s="6" t="n">
        <v>-20.54</v>
      </c>
      <c r="V63" s="7" t="n">
        <f aca="false">IF(P63-(O63/1.21)=0,0,U63/(P63-(O63/1.21)))</f>
        <v>-0.0174592037388073</v>
      </c>
      <c r="W63" s="5" t="s">
        <v>145</v>
      </c>
      <c r="X63" s="5" t="s">
        <v>146</v>
      </c>
      <c r="Y63" s="5" t="s">
        <v>156</v>
      </c>
      <c r="Z63" s="11" t="n">
        <v>5</v>
      </c>
    </row>
    <row r="64" customFormat="false" ht="15" hidden="false" customHeight="false" outlineLevel="0" collapsed="false">
      <c r="A64" s="2" t="s">
        <v>262</v>
      </c>
      <c r="B64" s="8" t="n">
        <v>45949.4791666667</v>
      </c>
      <c r="C64" s="2" t="s">
        <v>126</v>
      </c>
      <c r="D64" s="2" t="s">
        <v>164</v>
      </c>
      <c r="E64" s="2" t="s">
        <v>165</v>
      </c>
      <c r="F64" s="2" t="s">
        <v>166</v>
      </c>
      <c r="G64" s="2" t="s">
        <v>167</v>
      </c>
      <c r="H64" s="2" t="s">
        <v>131</v>
      </c>
      <c r="I64" s="2" t="s">
        <v>132</v>
      </c>
      <c r="J64" s="2" t="s">
        <v>133</v>
      </c>
      <c r="K64" s="2" t="s">
        <v>186</v>
      </c>
      <c r="L64" s="3" t="n">
        <v>0</v>
      </c>
      <c r="M64" s="3" t="n">
        <v>35.94</v>
      </c>
      <c r="N64" s="3" t="n">
        <v>323.46</v>
      </c>
      <c r="O64" s="3" t="n">
        <v>0</v>
      </c>
      <c r="P64" s="3" t="n">
        <v>267.32</v>
      </c>
      <c r="Q64" s="3" t="n">
        <v>56.14</v>
      </c>
      <c r="R64" s="3" t="n">
        <f aca="false">P64+Q64</f>
        <v>323.46</v>
      </c>
      <c r="S64" s="3" t="n">
        <v>0</v>
      </c>
      <c r="T64" s="3" t="n">
        <v>144</v>
      </c>
      <c r="U64" s="3" t="n">
        <v>123.32</v>
      </c>
      <c r="V64" s="4" t="n">
        <f aca="false">IF(P64-(O64/1.21)=0,0,U64/(P64-(O64/1.21)))</f>
        <v>0.461319766571899</v>
      </c>
      <c r="W64" s="2" t="s">
        <v>153</v>
      </c>
      <c r="X64" s="2" t="s">
        <v>146</v>
      </c>
      <c r="Y64" s="2" t="s">
        <v>177</v>
      </c>
      <c r="Z64" s="9" t="n">
        <v>1</v>
      </c>
    </row>
    <row r="65" customFormat="false" ht="15" hidden="false" customHeight="false" outlineLevel="0" collapsed="false">
      <c r="A65" s="5" t="s">
        <v>263</v>
      </c>
      <c r="B65" s="10" t="n">
        <v>45949.7083333333</v>
      </c>
      <c r="C65" s="5" t="s">
        <v>148</v>
      </c>
      <c r="D65" s="5" t="s">
        <v>158</v>
      </c>
      <c r="E65" s="5" t="s">
        <v>159</v>
      </c>
      <c r="F65" s="5" t="s">
        <v>160</v>
      </c>
      <c r="G65" s="5" t="s">
        <v>161</v>
      </c>
      <c r="H65" s="5" t="s">
        <v>131</v>
      </c>
      <c r="I65" s="5" t="s">
        <v>132</v>
      </c>
      <c r="J65" s="5" t="s">
        <v>133</v>
      </c>
      <c r="K65" s="5"/>
      <c r="L65" s="6" t="n">
        <v>0</v>
      </c>
      <c r="M65" s="6" t="n">
        <v>39.8</v>
      </c>
      <c r="N65" s="6" t="n">
        <v>358.2</v>
      </c>
      <c r="O65" s="6" t="n">
        <v>9.95</v>
      </c>
      <c r="P65" s="6" t="n">
        <v>304.25</v>
      </c>
      <c r="Q65" s="6" t="n">
        <v>63.9</v>
      </c>
      <c r="R65" s="6" t="n">
        <f aca="false">P65+Q65</f>
        <v>368.15</v>
      </c>
      <c r="S65" s="6" t="n">
        <v>0</v>
      </c>
      <c r="T65" s="6" t="n">
        <v>190</v>
      </c>
      <c r="U65" s="6" t="n">
        <v>106.03</v>
      </c>
      <c r="V65" s="7" t="n">
        <f aca="false">IF(P65-(O65/1.21)=0,0,U65/(P65-(O65/1.21)))</f>
        <v>0.358176957920671</v>
      </c>
      <c r="W65" s="5" t="s">
        <v>162</v>
      </c>
      <c r="X65" s="5" t="s">
        <v>146</v>
      </c>
      <c r="Y65" s="5" t="s">
        <v>156</v>
      </c>
      <c r="Z65" s="11" t="n">
        <v>1</v>
      </c>
    </row>
    <row r="66" customFormat="false" ht="15" hidden="false" customHeight="false" outlineLevel="0" collapsed="false">
      <c r="A66" s="2" t="s">
        <v>264</v>
      </c>
      <c r="B66" s="8" t="n">
        <v>45950.8854166667</v>
      </c>
      <c r="C66" s="2" t="s">
        <v>126</v>
      </c>
      <c r="D66" s="2" t="s">
        <v>127</v>
      </c>
      <c r="E66" s="2" t="s">
        <v>128</v>
      </c>
      <c r="F66" s="2" t="s">
        <v>129</v>
      </c>
      <c r="G66" s="2" t="s">
        <v>130</v>
      </c>
      <c r="H66" s="2" t="s">
        <v>131</v>
      </c>
      <c r="I66" s="2" t="s">
        <v>132</v>
      </c>
      <c r="J66" s="2" t="s">
        <v>133</v>
      </c>
      <c r="K66" s="2" t="s">
        <v>168</v>
      </c>
      <c r="L66" s="3" t="n">
        <v>18.87</v>
      </c>
      <c r="M66" s="3" t="n">
        <v>0</v>
      </c>
      <c r="N66" s="3" t="n">
        <v>125.78</v>
      </c>
      <c r="O66" s="3" t="n">
        <v>9.95</v>
      </c>
      <c r="P66" s="3" t="n">
        <v>97</v>
      </c>
      <c r="Q66" s="3" t="n">
        <v>19.86</v>
      </c>
      <c r="R66" s="3" t="n">
        <f aca="false">P66+Q66</f>
        <v>116.86</v>
      </c>
      <c r="S66" s="3" t="n">
        <v>0</v>
      </c>
      <c r="T66" s="3" t="n">
        <v>54.4</v>
      </c>
      <c r="U66" s="3" t="n">
        <v>34.38</v>
      </c>
      <c r="V66" s="4" t="n">
        <f aca="false">IF(P66-(O66/1.21)=0,0,U66/(P66-(O66/1.21)))</f>
        <v>0.387263079501024</v>
      </c>
      <c r="W66" s="2" t="s">
        <v>145</v>
      </c>
      <c r="X66" s="2" t="s">
        <v>146</v>
      </c>
      <c r="Y66" s="2" t="s">
        <v>156</v>
      </c>
      <c r="Z66" s="9" t="n">
        <v>2</v>
      </c>
    </row>
    <row r="67" customFormat="false" ht="15" hidden="false" customHeight="false" outlineLevel="0" collapsed="false">
      <c r="A67" s="5" t="s">
        <v>265</v>
      </c>
      <c r="B67" s="10" t="n">
        <v>45952.78125</v>
      </c>
      <c r="C67" s="5" t="s">
        <v>138</v>
      </c>
      <c r="D67" s="5" t="s">
        <v>127</v>
      </c>
      <c r="E67" s="5" t="s">
        <v>128</v>
      </c>
      <c r="F67" s="5" t="s">
        <v>129</v>
      </c>
      <c r="G67" s="5" t="s">
        <v>130</v>
      </c>
      <c r="H67" s="5" t="s">
        <v>131</v>
      </c>
      <c r="I67" s="5" t="s">
        <v>132</v>
      </c>
      <c r="J67" s="5" t="s">
        <v>133</v>
      </c>
      <c r="K67" s="5"/>
      <c r="L67" s="6" t="n">
        <v>0</v>
      </c>
      <c r="M67" s="6" t="n">
        <v>0</v>
      </c>
      <c r="N67" s="6" t="n">
        <v>29.88</v>
      </c>
      <c r="O67" s="6" t="n">
        <v>4.95</v>
      </c>
      <c r="P67" s="6" t="n">
        <v>31.25</v>
      </c>
      <c r="Q67" s="6" t="n">
        <v>3.58</v>
      </c>
      <c r="R67" s="6" t="n">
        <f aca="false">P67+Q67</f>
        <v>34.83</v>
      </c>
      <c r="S67" s="6" t="n">
        <v>0</v>
      </c>
      <c r="T67" s="6" t="n">
        <v>18</v>
      </c>
      <c r="U67" s="6" t="n">
        <v>9.16</v>
      </c>
      <c r="V67" s="7" t="n">
        <f aca="false">IF(P67-(O67/1.21)=0,0,U67/(P67-(O67/1.21)))</f>
        <v>0.337271966527197</v>
      </c>
      <c r="W67" s="5" t="s">
        <v>162</v>
      </c>
      <c r="X67" s="5" t="s">
        <v>170</v>
      </c>
      <c r="Y67" s="5" t="s">
        <v>177</v>
      </c>
      <c r="Z67" s="11" t="n">
        <v>1</v>
      </c>
    </row>
    <row r="68" customFormat="false" ht="15" hidden="false" customHeight="false" outlineLevel="0" collapsed="false">
      <c r="A68" s="2" t="s">
        <v>266</v>
      </c>
      <c r="B68" s="8" t="n">
        <v>45952.8958333333</v>
      </c>
      <c r="C68" s="2" t="s">
        <v>193</v>
      </c>
      <c r="D68" s="2" t="s">
        <v>217</v>
      </c>
      <c r="E68" s="2" t="s">
        <v>218</v>
      </c>
      <c r="F68" s="2" t="s">
        <v>219</v>
      </c>
      <c r="G68" s="2" t="s">
        <v>220</v>
      </c>
      <c r="H68" s="2" t="s">
        <v>131</v>
      </c>
      <c r="I68" s="2" t="s">
        <v>132</v>
      </c>
      <c r="J68" s="2" t="s">
        <v>133</v>
      </c>
      <c r="K68" s="2"/>
      <c r="L68" s="3" t="n">
        <v>0</v>
      </c>
      <c r="M68" s="3" t="n">
        <v>0</v>
      </c>
      <c r="N68" s="3" t="n">
        <v>53.88</v>
      </c>
      <c r="O68" s="3" t="n">
        <v>9.95</v>
      </c>
      <c r="P68" s="3" t="n">
        <v>57.2</v>
      </c>
      <c r="Q68" s="3" t="n">
        <v>6.63</v>
      </c>
      <c r="R68" s="3" t="n">
        <f aca="false">P68+Q68</f>
        <v>63.83</v>
      </c>
      <c r="S68" s="3" t="n">
        <v>0</v>
      </c>
      <c r="T68" s="3" t="n">
        <v>25.2</v>
      </c>
      <c r="U68" s="3" t="n">
        <v>23.78</v>
      </c>
      <c r="V68" s="4" t="n">
        <f aca="false">IF(P68-(O68/1.21)=0,0,U68/(P68-(O68/1.21)))</f>
        <v>0.485535418986872</v>
      </c>
      <c r="W68" s="2" t="s">
        <v>134</v>
      </c>
      <c r="X68" s="2" t="s">
        <v>146</v>
      </c>
      <c r="Y68" s="2" t="s">
        <v>156</v>
      </c>
      <c r="Z68" s="9" t="n">
        <v>1</v>
      </c>
    </row>
    <row r="69" customFormat="false" ht="15" hidden="false" customHeight="false" outlineLevel="0" collapsed="false">
      <c r="A69" s="5" t="s">
        <v>267</v>
      </c>
      <c r="B69" s="10" t="n">
        <v>45953.84375</v>
      </c>
      <c r="C69" s="5" t="s">
        <v>126</v>
      </c>
      <c r="D69" s="5" t="s">
        <v>202</v>
      </c>
      <c r="E69" s="5" t="s">
        <v>203</v>
      </c>
      <c r="F69" s="5" t="s">
        <v>204</v>
      </c>
      <c r="G69" s="5" t="s">
        <v>205</v>
      </c>
      <c r="H69" s="5" t="s">
        <v>131</v>
      </c>
      <c r="I69" s="5" t="s">
        <v>132</v>
      </c>
      <c r="J69" s="5" t="s">
        <v>133</v>
      </c>
      <c r="K69" s="5" t="s">
        <v>144</v>
      </c>
      <c r="L69" s="6" t="n">
        <v>65.09</v>
      </c>
      <c r="M69" s="6" t="n">
        <v>31.96</v>
      </c>
      <c r="N69" s="6" t="n">
        <v>325.44</v>
      </c>
      <c r="O69" s="6" t="n">
        <v>9.95</v>
      </c>
      <c r="P69" s="6" t="n">
        <v>223.38</v>
      </c>
      <c r="Q69" s="6" t="n">
        <v>46.92</v>
      </c>
      <c r="R69" s="6" t="n">
        <f aca="false">P69+Q69</f>
        <v>270.3</v>
      </c>
      <c r="S69" s="6" t="n">
        <v>0</v>
      </c>
      <c r="T69" s="6" t="n">
        <v>149</v>
      </c>
      <c r="U69" s="6" t="n">
        <v>66.16</v>
      </c>
      <c r="V69" s="7" t="n">
        <f aca="false">IF(P69-(O69/1.21)=0,0,U69/(P69-(O69/1.21)))</f>
        <v>0.307496587152637</v>
      </c>
      <c r="W69" s="5" t="s">
        <v>162</v>
      </c>
      <c r="X69" s="5" t="s">
        <v>146</v>
      </c>
      <c r="Y69" s="5" t="s">
        <v>177</v>
      </c>
      <c r="Z69" s="11" t="n">
        <v>2</v>
      </c>
    </row>
    <row r="70" customFormat="false" ht="15" hidden="false" customHeight="false" outlineLevel="0" collapsed="false">
      <c r="A70" s="2" t="s">
        <v>268</v>
      </c>
      <c r="B70" s="8" t="n">
        <v>45955.7291666667</v>
      </c>
      <c r="C70" s="2" t="s">
        <v>126</v>
      </c>
      <c r="D70" s="2" t="s">
        <v>164</v>
      </c>
      <c r="E70" s="2" t="s">
        <v>165</v>
      </c>
      <c r="F70" s="2" t="s">
        <v>166</v>
      </c>
      <c r="G70" s="2" t="s">
        <v>167</v>
      </c>
      <c r="H70" s="2" t="s">
        <v>131</v>
      </c>
      <c r="I70" s="2" t="s">
        <v>132</v>
      </c>
      <c r="J70" s="2" t="s">
        <v>133</v>
      </c>
      <c r="K70" s="2"/>
      <c r="L70" s="3" t="n">
        <v>0</v>
      </c>
      <c r="M70" s="3" t="n">
        <v>5.24</v>
      </c>
      <c r="N70" s="3" t="n">
        <v>427.66</v>
      </c>
      <c r="O70" s="3" t="n">
        <v>4.95</v>
      </c>
      <c r="P70" s="3" t="n">
        <v>357.53</v>
      </c>
      <c r="Q70" s="3" t="n">
        <v>75.08</v>
      </c>
      <c r="R70" s="3" t="n">
        <f aca="false">P70+Q70</f>
        <v>432.61</v>
      </c>
      <c r="S70" s="3" t="n">
        <v>0</v>
      </c>
      <c r="T70" s="3" t="n">
        <v>204</v>
      </c>
      <c r="U70" s="3" t="n">
        <v>149.44</v>
      </c>
      <c r="V70" s="4" t="n">
        <f aca="false">IF(P70-(O70/1.21)=0,0,U70/(P70-(O70/1.21)))</f>
        <v>0.422816841271352</v>
      </c>
      <c r="W70" s="2" t="s">
        <v>153</v>
      </c>
      <c r="X70" s="2" t="s">
        <v>170</v>
      </c>
      <c r="Y70" s="2" t="s">
        <v>156</v>
      </c>
      <c r="Z70" s="9" t="n">
        <v>2</v>
      </c>
    </row>
    <row r="71" customFormat="false" ht="15" hidden="false" customHeight="false" outlineLevel="0" collapsed="false">
      <c r="A71" s="5" t="s">
        <v>269</v>
      </c>
      <c r="B71" s="10" t="n">
        <v>45956.46875</v>
      </c>
      <c r="C71" s="5" t="s">
        <v>138</v>
      </c>
      <c r="D71" s="5" t="s">
        <v>164</v>
      </c>
      <c r="E71" s="5" t="s">
        <v>165</v>
      </c>
      <c r="F71" s="5" t="s">
        <v>166</v>
      </c>
      <c r="G71" s="5" t="s">
        <v>167</v>
      </c>
      <c r="H71" s="5" t="s">
        <v>131</v>
      </c>
      <c r="I71" s="5" t="s">
        <v>132</v>
      </c>
      <c r="J71" s="5" t="s">
        <v>133</v>
      </c>
      <c r="K71" s="5"/>
      <c r="L71" s="6" t="n">
        <v>0</v>
      </c>
      <c r="M71" s="6" t="n">
        <v>0</v>
      </c>
      <c r="N71" s="6" t="n">
        <v>120.78</v>
      </c>
      <c r="O71" s="6" t="n">
        <v>0</v>
      </c>
      <c r="P71" s="6" t="n">
        <v>100.32</v>
      </c>
      <c r="Q71" s="6" t="n">
        <v>20.46</v>
      </c>
      <c r="R71" s="6" t="n">
        <f aca="false">P71+Q71</f>
        <v>120.78</v>
      </c>
      <c r="S71" s="6" t="n">
        <v>0</v>
      </c>
      <c r="T71" s="6" t="n">
        <v>58.9</v>
      </c>
      <c r="U71" s="6" t="n">
        <v>41.42</v>
      </c>
      <c r="V71" s="7" t="n">
        <f aca="false">IF(P71-(O71/1.21)=0,0,U71/(P71-(O71/1.21)))</f>
        <v>0.412878787878788</v>
      </c>
      <c r="W71" s="5" t="s">
        <v>134</v>
      </c>
      <c r="X71" s="5" t="s">
        <v>135</v>
      </c>
      <c r="Y71" s="5" t="s">
        <v>156</v>
      </c>
      <c r="Z71" s="11" t="n">
        <v>3</v>
      </c>
    </row>
    <row r="72" customFormat="false" ht="15" hidden="false" customHeight="false" outlineLevel="0" collapsed="false">
      <c r="A72" s="2" t="s">
        <v>270</v>
      </c>
      <c r="B72" s="8" t="n">
        <v>45957.6041666667</v>
      </c>
      <c r="C72" s="2" t="s">
        <v>126</v>
      </c>
      <c r="D72" s="2" t="s">
        <v>164</v>
      </c>
      <c r="E72" s="2" t="s">
        <v>165</v>
      </c>
      <c r="F72" s="2" t="s">
        <v>166</v>
      </c>
      <c r="G72" s="2" t="s">
        <v>167</v>
      </c>
      <c r="H72" s="2" t="s">
        <v>131</v>
      </c>
      <c r="I72" s="2" t="s">
        <v>132</v>
      </c>
      <c r="J72" s="2" t="s">
        <v>133</v>
      </c>
      <c r="K72" s="2"/>
      <c r="L72" s="3" t="n">
        <v>0</v>
      </c>
      <c r="M72" s="3" t="n">
        <v>0</v>
      </c>
      <c r="N72" s="3" t="n">
        <v>4.98</v>
      </c>
      <c r="O72" s="3" t="n">
        <v>4.95</v>
      </c>
      <c r="P72" s="3" t="n">
        <v>8.62</v>
      </c>
      <c r="Q72" s="3" t="n">
        <v>1.31</v>
      </c>
      <c r="R72" s="3" t="n">
        <f aca="false">P72+Q72</f>
        <v>9.93</v>
      </c>
      <c r="S72" s="3" t="n">
        <v>0</v>
      </c>
      <c r="T72" s="3" t="n">
        <v>3</v>
      </c>
      <c r="U72" s="3" t="n">
        <v>1.53</v>
      </c>
      <c r="V72" s="4" t="n">
        <f aca="false">IF(P72-(O72/1.21)=0,0,U72/(P72-(O72/1.21)))</f>
        <v>0.33781613809715</v>
      </c>
      <c r="W72" s="2" t="s">
        <v>162</v>
      </c>
      <c r="X72" s="2" t="s">
        <v>170</v>
      </c>
      <c r="Y72" s="2" t="s">
        <v>136</v>
      </c>
      <c r="Z72" s="9" t="n">
        <v>1</v>
      </c>
    </row>
    <row r="73" customFormat="false" ht="15" hidden="false" customHeight="false" outlineLevel="0" collapsed="false">
      <c r="A73" s="5" t="s">
        <v>271</v>
      </c>
      <c r="B73" s="10" t="n">
        <v>45960.4791666667</v>
      </c>
      <c r="C73" s="5" t="s">
        <v>126</v>
      </c>
      <c r="D73" s="5" t="s">
        <v>202</v>
      </c>
      <c r="E73" s="5" t="s">
        <v>203</v>
      </c>
      <c r="F73" s="5" t="s">
        <v>204</v>
      </c>
      <c r="G73" s="5" t="s">
        <v>205</v>
      </c>
      <c r="H73" s="5" t="s">
        <v>131</v>
      </c>
      <c r="I73" s="5" t="s">
        <v>132</v>
      </c>
      <c r="J73" s="5" t="s">
        <v>133</v>
      </c>
      <c r="K73" s="5" t="s">
        <v>168</v>
      </c>
      <c r="L73" s="6" t="n">
        <v>1.12</v>
      </c>
      <c r="M73" s="6" t="n">
        <v>0</v>
      </c>
      <c r="N73" s="6" t="n">
        <v>7.47</v>
      </c>
      <c r="O73" s="6" t="n">
        <v>9.95</v>
      </c>
      <c r="P73" s="6" t="n">
        <v>13.99</v>
      </c>
      <c r="Q73" s="6" t="n">
        <v>2.31</v>
      </c>
      <c r="R73" s="6" t="n">
        <f aca="false">P73+Q73</f>
        <v>16.3</v>
      </c>
      <c r="S73" s="6" t="n">
        <v>0</v>
      </c>
      <c r="T73" s="6" t="n">
        <v>4.5</v>
      </c>
      <c r="U73" s="6" t="n">
        <v>1.27</v>
      </c>
      <c r="V73" s="7" t="n">
        <f aca="false">IF(P73-(O73/1.21)=0,0,U73/(P73-(O73/1.21)))</f>
        <v>0.220223849582253</v>
      </c>
      <c r="W73" s="5" t="s">
        <v>145</v>
      </c>
      <c r="X73" s="5" t="s">
        <v>146</v>
      </c>
      <c r="Y73" s="5" t="s">
        <v>136</v>
      </c>
      <c r="Z73" s="11" t="n">
        <v>1</v>
      </c>
    </row>
    <row r="74" customFormat="false" ht="15" hidden="false" customHeight="false" outlineLevel="0" collapsed="false">
      <c r="A74" s="2" t="s">
        <v>272</v>
      </c>
      <c r="B74" s="8" t="n">
        <v>45960.875</v>
      </c>
      <c r="C74" s="2" t="s">
        <v>126</v>
      </c>
      <c r="D74" s="2" t="s">
        <v>179</v>
      </c>
      <c r="E74" s="2" t="s">
        <v>180</v>
      </c>
      <c r="F74" s="2" t="s">
        <v>181</v>
      </c>
      <c r="G74" s="2" t="s">
        <v>182</v>
      </c>
      <c r="H74" s="2" t="s">
        <v>131</v>
      </c>
      <c r="I74" s="2" t="s">
        <v>185</v>
      </c>
      <c r="J74" s="2" t="s">
        <v>185</v>
      </c>
      <c r="K74" s="2" t="s">
        <v>186</v>
      </c>
      <c r="L74" s="3" t="n">
        <v>0</v>
      </c>
      <c r="M74" s="3" t="n">
        <v>0</v>
      </c>
      <c r="N74" s="3" t="n">
        <v>113.4</v>
      </c>
      <c r="O74" s="3" t="n">
        <v>0</v>
      </c>
      <c r="P74" s="3" t="n">
        <v>93.72</v>
      </c>
      <c r="Q74" s="3" t="n">
        <v>19.68</v>
      </c>
      <c r="R74" s="3" t="n">
        <f aca="false">P74+Q74</f>
        <v>113.4</v>
      </c>
      <c r="S74" s="3" t="n">
        <v>0</v>
      </c>
      <c r="T74" s="3" t="n">
        <v>39</v>
      </c>
      <c r="U74" s="3" t="n">
        <v>54.72</v>
      </c>
      <c r="V74" s="4" t="n">
        <f aca="false">IF(P74-(O74/1.21)=0,0,U74/(P74-(O74/1.21)))</f>
        <v>0.583866837387964</v>
      </c>
      <c r="W74" s="2" t="s">
        <v>153</v>
      </c>
      <c r="X74" s="2" t="s">
        <v>135</v>
      </c>
      <c r="Y74" s="2" t="s">
        <v>136</v>
      </c>
      <c r="Z74" s="9" t="n">
        <v>1</v>
      </c>
    </row>
    <row r="75" customFormat="false" ht="15" hidden="false" customHeight="false" outlineLevel="0" collapsed="false">
      <c r="A75" s="5" t="s">
        <v>273</v>
      </c>
      <c r="B75" s="10" t="n">
        <v>45962.59375</v>
      </c>
      <c r="C75" s="5" t="s">
        <v>126</v>
      </c>
      <c r="D75" s="5" t="s">
        <v>258</v>
      </c>
      <c r="E75" s="5" t="s">
        <v>259</v>
      </c>
      <c r="F75" s="5" t="s">
        <v>260</v>
      </c>
      <c r="G75" s="5" t="s">
        <v>261</v>
      </c>
      <c r="H75" s="5" t="s">
        <v>131</v>
      </c>
      <c r="I75" s="5" t="s">
        <v>231</v>
      </c>
      <c r="J75" s="5" t="s">
        <v>133</v>
      </c>
      <c r="K75" s="5" t="s">
        <v>144</v>
      </c>
      <c r="L75" s="6" t="n">
        <v>25.96</v>
      </c>
      <c r="M75" s="6" t="n">
        <v>4</v>
      </c>
      <c r="N75" s="6" t="n">
        <v>129.78</v>
      </c>
      <c r="O75" s="6" t="n">
        <v>0</v>
      </c>
      <c r="P75" s="6" t="n">
        <v>89.36</v>
      </c>
      <c r="Q75" s="6" t="n">
        <v>14.46</v>
      </c>
      <c r="R75" s="6" t="n">
        <f aca="false">P75+Q75</f>
        <v>103.82</v>
      </c>
      <c r="S75" s="6" t="n">
        <v>103.82</v>
      </c>
      <c r="T75" s="6" t="n">
        <v>57.2</v>
      </c>
      <c r="U75" s="6" t="n">
        <v>32.16</v>
      </c>
      <c r="V75" s="7" t="n">
        <f aca="false">IF(P75-(O75/1.21)=0,0,U75/(P75-(O75/1.21)))</f>
        <v>0.359892569382274</v>
      </c>
      <c r="W75" s="5" t="s">
        <v>153</v>
      </c>
      <c r="X75" s="5" t="s">
        <v>135</v>
      </c>
      <c r="Y75" s="5" t="s">
        <v>136</v>
      </c>
      <c r="Z75" s="11" t="n">
        <v>2</v>
      </c>
    </row>
    <row r="76" customFormat="false" ht="15" hidden="false" customHeight="false" outlineLevel="0" collapsed="false">
      <c r="A76" s="2" t="s">
        <v>274</v>
      </c>
      <c r="B76" s="8" t="n">
        <v>45962.6458333333</v>
      </c>
      <c r="C76" s="2" t="s">
        <v>126</v>
      </c>
      <c r="D76" s="2" t="s">
        <v>202</v>
      </c>
      <c r="E76" s="2" t="s">
        <v>203</v>
      </c>
      <c r="F76" s="2" t="s">
        <v>204</v>
      </c>
      <c r="G76" s="2" t="s">
        <v>205</v>
      </c>
      <c r="H76" s="2" t="s">
        <v>131</v>
      </c>
      <c r="I76" s="2" t="s">
        <v>132</v>
      </c>
      <c r="J76" s="2" t="s">
        <v>133</v>
      </c>
      <c r="K76" s="2" t="s">
        <v>168</v>
      </c>
      <c r="L76" s="3" t="n">
        <v>47.04</v>
      </c>
      <c r="M76" s="3" t="n">
        <v>0</v>
      </c>
      <c r="N76" s="3" t="n">
        <v>313.6</v>
      </c>
      <c r="O76" s="3" t="n">
        <v>0</v>
      </c>
      <c r="P76" s="3" t="n">
        <v>220.3</v>
      </c>
      <c r="Q76" s="3" t="n">
        <v>46.26</v>
      </c>
      <c r="R76" s="3" t="n">
        <f aca="false">P76+Q76</f>
        <v>266.56</v>
      </c>
      <c r="S76" s="3" t="n">
        <v>0</v>
      </c>
      <c r="T76" s="3" t="n">
        <v>136</v>
      </c>
      <c r="U76" s="3" t="n">
        <v>84.3</v>
      </c>
      <c r="V76" s="4" t="n">
        <f aca="false">IF(P76-(O76/1.21)=0,0,U76/(P76-(O76/1.21)))</f>
        <v>0.382660009078529</v>
      </c>
      <c r="W76" s="2" t="s">
        <v>145</v>
      </c>
      <c r="X76" s="2" t="s">
        <v>135</v>
      </c>
      <c r="Y76" s="2" t="s">
        <v>136</v>
      </c>
      <c r="Z76" s="9" t="n">
        <v>2</v>
      </c>
    </row>
    <row r="77" customFormat="false" ht="15" hidden="false" customHeight="false" outlineLevel="0" collapsed="false">
      <c r="A77" s="5" t="s">
        <v>275</v>
      </c>
      <c r="B77" s="10" t="n">
        <v>45963.7916666667</v>
      </c>
      <c r="C77" s="5" t="s">
        <v>172</v>
      </c>
      <c r="D77" s="5" t="s">
        <v>179</v>
      </c>
      <c r="E77" s="5" t="s">
        <v>180</v>
      </c>
      <c r="F77" s="5" t="s">
        <v>181</v>
      </c>
      <c r="G77" s="5" t="s">
        <v>182</v>
      </c>
      <c r="H77" s="5" t="s">
        <v>131</v>
      </c>
      <c r="I77" s="5" t="s">
        <v>176</v>
      </c>
      <c r="J77" s="5" t="s">
        <v>133</v>
      </c>
      <c r="K77" s="5" t="s">
        <v>186</v>
      </c>
      <c r="L77" s="6" t="n">
        <v>0</v>
      </c>
      <c r="M77" s="6" t="n">
        <v>0</v>
      </c>
      <c r="N77" s="6" t="n">
        <v>1048.7</v>
      </c>
      <c r="O77" s="6" t="n">
        <v>0</v>
      </c>
      <c r="P77" s="6" t="n">
        <v>866.69</v>
      </c>
      <c r="Q77" s="6" t="n">
        <v>182.01</v>
      </c>
      <c r="R77" s="6" t="n">
        <f aca="false">P77+Q77</f>
        <v>1048.7</v>
      </c>
      <c r="S77" s="6" t="n">
        <v>799</v>
      </c>
      <c r="T77" s="6" t="n">
        <v>659</v>
      </c>
      <c r="U77" s="6" t="n">
        <v>207.69</v>
      </c>
      <c r="V77" s="7" t="n">
        <f aca="false">IF(P77-(O77/1.21)=0,0,U77/(P77-(O77/1.21)))</f>
        <v>0.239635855957724</v>
      </c>
      <c r="W77" s="5" t="s">
        <v>153</v>
      </c>
      <c r="X77" s="5" t="s">
        <v>146</v>
      </c>
      <c r="Y77" s="5" t="s">
        <v>154</v>
      </c>
      <c r="Z77" s="11" t="n">
        <v>4</v>
      </c>
    </row>
    <row r="78" customFormat="false" ht="15" hidden="false" customHeight="false" outlineLevel="0" collapsed="false">
      <c r="A78" s="2" t="s">
        <v>276</v>
      </c>
      <c r="B78" s="8" t="n">
        <v>45965.5</v>
      </c>
      <c r="C78" s="2" t="s">
        <v>126</v>
      </c>
      <c r="D78" s="2" t="s">
        <v>223</v>
      </c>
      <c r="E78" s="2" t="s">
        <v>224</v>
      </c>
      <c r="F78" s="2" t="s">
        <v>225</v>
      </c>
      <c r="G78" s="2" t="s">
        <v>226</v>
      </c>
      <c r="H78" s="2" t="s">
        <v>131</v>
      </c>
      <c r="I78" s="2" t="s">
        <v>132</v>
      </c>
      <c r="J78" s="2" t="s">
        <v>133</v>
      </c>
      <c r="K78" s="2" t="s">
        <v>168</v>
      </c>
      <c r="L78" s="3" t="n">
        <v>39.1</v>
      </c>
      <c r="M78" s="3" t="n">
        <v>1.14</v>
      </c>
      <c r="N78" s="3" t="n">
        <v>260.66</v>
      </c>
      <c r="O78" s="3" t="n">
        <v>9.95</v>
      </c>
      <c r="P78" s="3" t="n">
        <v>191.32</v>
      </c>
      <c r="Q78" s="3" t="n">
        <v>40.19</v>
      </c>
      <c r="R78" s="3" t="n">
        <f aca="false">P78+Q78</f>
        <v>231.51</v>
      </c>
      <c r="S78" s="3" t="n">
        <v>0</v>
      </c>
      <c r="T78" s="3" t="n">
        <v>119</v>
      </c>
      <c r="U78" s="3" t="n">
        <v>64.1</v>
      </c>
      <c r="V78" s="4" t="n">
        <f aca="false">IF(P78-(O78/1.21)=0,0,U78/(P78-(O78/1.21)))</f>
        <v>0.35008792708732</v>
      </c>
      <c r="W78" s="2" t="s">
        <v>162</v>
      </c>
      <c r="X78" s="2" t="s">
        <v>146</v>
      </c>
      <c r="Y78" s="2" t="s">
        <v>136</v>
      </c>
      <c r="Z78" s="9" t="n">
        <v>3</v>
      </c>
    </row>
    <row r="79" customFormat="false" ht="15" hidden="false" customHeight="false" outlineLevel="0" collapsed="false">
      <c r="A79" s="5" t="s">
        <v>277</v>
      </c>
      <c r="B79" s="10" t="n">
        <v>45965.6354166667</v>
      </c>
      <c r="C79" s="5" t="s">
        <v>138</v>
      </c>
      <c r="D79" s="5" t="s">
        <v>158</v>
      </c>
      <c r="E79" s="5" t="s">
        <v>159</v>
      </c>
      <c r="F79" s="5" t="s">
        <v>160</v>
      </c>
      <c r="G79" s="5" t="s">
        <v>161</v>
      </c>
      <c r="H79" s="5" t="s">
        <v>131</v>
      </c>
      <c r="I79" s="5" t="s">
        <v>132</v>
      </c>
      <c r="J79" s="5" t="s">
        <v>133</v>
      </c>
      <c r="K79" s="5" t="s">
        <v>144</v>
      </c>
      <c r="L79" s="6" t="n">
        <v>13.98</v>
      </c>
      <c r="M79" s="6" t="n">
        <v>0</v>
      </c>
      <c r="N79" s="6" t="n">
        <v>69.9</v>
      </c>
      <c r="O79" s="6" t="n">
        <v>0</v>
      </c>
      <c r="P79" s="6" t="n">
        <v>46.21</v>
      </c>
      <c r="Q79" s="6" t="n">
        <v>9.71</v>
      </c>
      <c r="R79" s="6" t="n">
        <f aca="false">P79+Q79</f>
        <v>55.92</v>
      </c>
      <c r="S79" s="6" t="n">
        <v>0</v>
      </c>
      <c r="T79" s="6" t="n">
        <v>29</v>
      </c>
      <c r="U79" s="6" t="n">
        <v>17.21</v>
      </c>
      <c r="V79" s="7" t="n">
        <f aca="false">IF(P79-(O79/1.21)=0,0,U79/(P79-(O79/1.21)))</f>
        <v>0.372430209911275</v>
      </c>
      <c r="W79" s="5" t="s">
        <v>162</v>
      </c>
      <c r="X79" s="5" t="s">
        <v>135</v>
      </c>
      <c r="Y79" s="5" t="s">
        <v>177</v>
      </c>
      <c r="Z79" s="11" t="n">
        <v>1</v>
      </c>
    </row>
    <row r="80" customFormat="false" ht="15" hidden="false" customHeight="false" outlineLevel="0" collapsed="false">
      <c r="A80" s="2" t="s">
        <v>278</v>
      </c>
      <c r="B80" s="8" t="n">
        <v>45965.7708333333</v>
      </c>
      <c r="C80" s="2" t="s">
        <v>172</v>
      </c>
      <c r="D80" s="2" t="s">
        <v>149</v>
      </c>
      <c r="E80" s="2" t="s">
        <v>150</v>
      </c>
      <c r="F80" s="2" t="s">
        <v>151</v>
      </c>
      <c r="G80" s="2" t="s">
        <v>152</v>
      </c>
      <c r="H80" s="2" t="s">
        <v>131</v>
      </c>
      <c r="I80" s="2" t="s">
        <v>132</v>
      </c>
      <c r="J80" s="2" t="s">
        <v>133</v>
      </c>
      <c r="K80" s="2"/>
      <c r="L80" s="3" t="n">
        <v>0</v>
      </c>
      <c r="M80" s="3" t="n">
        <v>20.85</v>
      </c>
      <c r="N80" s="3" t="n">
        <v>118.15</v>
      </c>
      <c r="O80" s="3" t="n">
        <v>9.95</v>
      </c>
      <c r="P80" s="3" t="n">
        <v>105.86</v>
      </c>
      <c r="Q80" s="3" t="n">
        <v>22.24</v>
      </c>
      <c r="R80" s="3" t="n">
        <f aca="false">P80+Q80</f>
        <v>128.1</v>
      </c>
      <c r="S80" s="3" t="n">
        <v>0</v>
      </c>
      <c r="T80" s="3" t="n">
        <v>62</v>
      </c>
      <c r="U80" s="3" t="n">
        <v>35.64</v>
      </c>
      <c r="V80" s="4" t="n">
        <f aca="false">IF(P80-(O80/1.21)=0,0,U80/(P80-(O80/1.21)))</f>
        <v>0.365026079095586</v>
      </c>
      <c r="W80" s="2" t="s">
        <v>134</v>
      </c>
      <c r="X80" s="2" t="s">
        <v>146</v>
      </c>
      <c r="Y80" s="2" t="s">
        <v>154</v>
      </c>
      <c r="Z80" s="9" t="n">
        <v>1</v>
      </c>
    </row>
    <row r="81" customFormat="false" ht="15" hidden="false" customHeight="false" outlineLevel="0" collapsed="false">
      <c r="A81" s="5" t="s">
        <v>279</v>
      </c>
      <c r="B81" s="10" t="n">
        <v>45965.7916666667</v>
      </c>
      <c r="C81" s="5" t="s">
        <v>172</v>
      </c>
      <c r="D81" s="5" t="s">
        <v>173</v>
      </c>
      <c r="E81" s="5" t="s">
        <v>174</v>
      </c>
      <c r="F81" s="5" t="s">
        <v>175</v>
      </c>
      <c r="G81" s="5" t="s">
        <v>161</v>
      </c>
      <c r="H81" s="5" t="s">
        <v>131</v>
      </c>
      <c r="I81" s="5" t="s">
        <v>132</v>
      </c>
      <c r="J81" s="5" t="s">
        <v>133</v>
      </c>
      <c r="K81" s="5"/>
      <c r="L81" s="6" t="n">
        <v>0</v>
      </c>
      <c r="M81" s="6" t="n">
        <v>0</v>
      </c>
      <c r="N81" s="6" t="n">
        <v>39.8</v>
      </c>
      <c r="O81" s="6" t="n">
        <v>9.95</v>
      </c>
      <c r="P81" s="6" t="n">
        <v>41.11</v>
      </c>
      <c r="Q81" s="6" t="n">
        <v>8.64</v>
      </c>
      <c r="R81" s="6" t="n">
        <f aca="false">P81+Q81</f>
        <v>49.75</v>
      </c>
      <c r="S81" s="6" t="n">
        <v>0</v>
      </c>
      <c r="T81" s="6" t="n">
        <v>14</v>
      </c>
      <c r="U81" s="6" t="n">
        <v>18.89</v>
      </c>
      <c r="V81" s="7" t="n">
        <f aca="false">IF(P81-(O81/1.21)=0,0,U81/(P81-(O81/1.21)))</f>
        <v>0.574393550640689</v>
      </c>
      <c r="W81" s="5" t="s">
        <v>162</v>
      </c>
      <c r="X81" s="5" t="s">
        <v>146</v>
      </c>
      <c r="Y81" s="5" t="s">
        <v>154</v>
      </c>
      <c r="Z81" s="11" t="n">
        <v>1</v>
      </c>
    </row>
    <row r="82" customFormat="false" ht="15" hidden="false" customHeight="false" outlineLevel="0" collapsed="false">
      <c r="A82" s="2" t="s">
        <v>280</v>
      </c>
      <c r="B82" s="8" t="n">
        <v>45965.8958333333</v>
      </c>
      <c r="C82" s="2" t="s">
        <v>148</v>
      </c>
      <c r="D82" s="2" t="s">
        <v>202</v>
      </c>
      <c r="E82" s="2" t="s">
        <v>203</v>
      </c>
      <c r="F82" s="2" t="s">
        <v>204</v>
      </c>
      <c r="G82" s="2" t="s">
        <v>205</v>
      </c>
      <c r="H82" s="2" t="s">
        <v>131</v>
      </c>
      <c r="I82" s="2" t="s">
        <v>132</v>
      </c>
      <c r="J82" s="2" t="s">
        <v>133</v>
      </c>
      <c r="K82" s="2" t="s">
        <v>168</v>
      </c>
      <c r="L82" s="3" t="n">
        <v>4.48</v>
      </c>
      <c r="M82" s="3" t="n">
        <v>0</v>
      </c>
      <c r="N82" s="3" t="n">
        <v>29.88</v>
      </c>
      <c r="O82" s="3" t="n">
        <v>4.95</v>
      </c>
      <c r="P82" s="3" t="n">
        <v>27.18</v>
      </c>
      <c r="Q82" s="3" t="n">
        <v>3.17</v>
      </c>
      <c r="R82" s="3" t="n">
        <f aca="false">P82+Q82</f>
        <v>30.35</v>
      </c>
      <c r="S82" s="3" t="n">
        <v>0</v>
      </c>
      <c r="T82" s="3" t="n">
        <v>18</v>
      </c>
      <c r="U82" s="3" t="n">
        <v>5.09</v>
      </c>
      <c r="V82" s="4" t="n">
        <f aca="false">IF(P82-(O82/1.21)=0,0,U82/(P82-(O82/1.21)))</f>
        <v>0.220450429167651</v>
      </c>
      <c r="W82" s="2" t="s">
        <v>169</v>
      </c>
      <c r="X82" s="2" t="s">
        <v>170</v>
      </c>
      <c r="Y82" s="2" t="s">
        <v>154</v>
      </c>
      <c r="Z82" s="9" t="n">
        <v>1</v>
      </c>
    </row>
    <row r="83" customFormat="false" ht="15" hidden="false" customHeight="false" outlineLevel="0" collapsed="false">
      <c r="A83" s="5" t="s">
        <v>281</v>
      </c>
      <c r="B83" s="10" t="n">
        <v>45966.7604166667</v>
      </c>
      <c r="C83" s="5" t="s">
        <v>172</v>
      </c>
      <c r="D83" s="5" t="s">
        <v>223</v>
      </c>
      <c r="E83" s="5" t="s">
        <v>224</v>
      </c>
      <c r="F83" s="5" t="s">
        <v>225</v>
      </c>
      <c r="G83" s="5" t="s">
        <v>226</v>
      </c>
      <c r="H83" s="5" t="s">
        <v>131</v>
      </c>
      <c r="I83" s="5" t="s">
        <v>176</v>
      </c>
      <c r="J83" s="5" t="s">
        <v>133</v>
      </c>
      <c r="K83" s="5" t="s">
        <v>144</v>
      </c>
      <c r="L83" s="6" t="n">
        <v>28.86</v>
      </c>
      <c r="M83" s="6" t="n">
        <v>0.5</v>
      </c>
      <c r="N83" s="6" t="n">
        <v>144.29</v>
      </c>
      <c r="O83" s="6" t="n">
        <v>0</v>
      </c>
      <c r="P83" s="6" t="n">
        <v>95.69</v>
      </c>
      <c r="Q83" s="6" t="n">
        <v>19.74</v>
      </c>
      <c r="R83" s="6" t="n">
        <f aca="false">P83+Q83</f>
        <v>115.43</v>
      </c>
      <c r="S83" s="6" t="n">
        <v>111.84</v>
      </c>
      <c r="T83" s="6" t="n">
        <v>60.3</v>
      </c>
      <c r="U83" s="6" t="n">
        <v>35.39</v>
      </c>
      <c r="V83" s="7" t="n">
        <f aca="false">IF(P83-(O83/1.21)=0,0,U83/(P83-(O83/1.21)))</f>
        <v>0.369840108684293</v>
      </c>
      <c r="W83" s="5" t="s">
        <v>169</v>
      </c>
      <c r="X83" s="5" t="s">
        <v>135</v>
      </c>
      <c r="Y83" s="5" t="s">
        <v>156</v>
      </c>
      <c r="Z83" s="11" t="n">
        <v>2</v>
      </c>
    </row>
    <row r="84" customFormat="false" ht="15" hidden="false" customHeight="false" outlineLevel="0" collapsed="false">
      <c r="A84" s="2" t="s">
        <v>282</v>
      </c>
      <c r="B84" s="8" t="n">
        <v>45966.8020833333</v>
      </c>
      <c r="C84" s="2" t="s">
        <v>138</v>
      </c>
      <c r="D84" s="2" t="s">
        <v>158</v>
      </c>
      <c r="E84" s="2" t="s">
        <v>159</v>
      </c>
      <c r="F84" s="2" t="s">
        <v>160</v>
      </c>
      <c r="G84" s="2" t="s">
        <v>161</v>
      </c>
      <c r="H84" s="2" t="s">
        <v>131</v>
      </c>
      <c r="I84" s="2" t="s">
        <v>132</v>
      </c>
      <c r="J84" s="2" t="s">
        <v>133</v>
      </c>
      <c r="K84" s="2" t="s">
        <v>144</v>
      </c>
      <c r="L84" s="3" t="n">
        <v>6.9</v>
      </c>
      <c r="M84" s="3" t="n">
        <v>1.29</v>
      </c>
      <c r="N84" s="3" t="n">
        <v>34.51</v>
      </c>
      <c r="O84" s="3" t="n">
        <v>9.95</v>
      </c>
      <c r="P84" s="3" t="n">
        <v>31.04</v>
      </c>
      <c r="Q84" s="3" t="n">
        <v>6.52</v>
      </c>
      <c r="R84" s="3" t="n">
        <f aca="false">P84+Q84</f>
        <v>37.56</v>
      </c>
      <c r="S84" s="3" t="n">
        <v>0</v>
      </c>
      <c r="T84" s="3" t="n">
        <v>10.1</v>
      </c>
      <c r="U84" s="3" t="n">
        <v>12.72</v>
      </c>
      <c r="V84" s="4" t="n">
        <f aca="false">IF(P84-(O84/1.21)=0,0,U84/(P84-(O84/1.21)))</f>
        <v>0.557482505324467</v>
      </c>
      <c r="W84" s="2" t="s">
        <v>145</v>
      </c>
      <c r="X84" s="2" t="s">
        <v>146</v>
      </c>
      <c r="Y84" s="2" t="s">
        <v>177</v>
      </c>
      <c r="Z84" s="9" t="n">
        <v>2</v>
      </c>
    </row>
    <row r="85" customFormat="false" ht="15" hidden="false" customHeight="false" outlineLevel="0" collapsed="false">
      <c r="A85" s="5" t="s">
        <v>283</v>
      </c>
      <c r="B85" s="10" t="n">
        <v>45967.8020833333</v>
      </c>
      <c r="C85" s="5" t="s">
        <v>126</v>
      </c>
      <c r="D85" s="5" t="s">
        <v>158</v>
      </c>
      <c r="E85" s="5" t="s">
        <v>159</v>
      </c>
      <c r="F85" s="5" t="s">
        <v>160</v>
      </c>
      <c r="G85" s="5" t="s">
        <v>161</v>
      </c>
      <c r="H85" s="5" t="s">
        <v>131</v>
      </c>
      <c r="I85" s="5" t="s">
        <v>132</v>
      </c>
      <c r="J85" s="5" t="s">
        <v>133</v>
      </c>
      <c r="K85" s="5"/>
      <c r="L85" s="6" t="n">
        <v>0</v>
      </c>
      <c r="M85" s="6" t="n">
        <v>2.25</v>
      </c>
      <c r="N85" s="6" t="n">
        <v>107.1</v>
      </c>
      <c r="O85" s="6" t="n">
        <v>0</v>
      </c>
      <c r="P85" s="6" t="n">
        <v>89.94</v>
      </c>
      <c r="Q85" s="6" t="n">
        <v>17.16</v>
      </c>
      <c r="R85" s="6" t="n">
        <f aca="false">P85+Q85</f>
        <v>107.1</v>
      </c>
      <c r="S85" s="6" t="n">
        <v>0</v>
      </c>
      <c r="T85" s="6" t="n">
        <v>56.7</v>
      </c>
      <c r="U85" s="6" t="n">
        <v>33.24</v>
      </c>
      <c r="V85" s="7" t="n">
        <f aca="false">IF(P85-(O85/1.21)=0,0,U85/(P85-(O85/1.21)))</f>
        <v>0.369579719813209</v>
      </c>
      <c r="W85" s="5" t="s">
        <v>145</v>
      </c>
      <c r="X85" s="5" t="s">
        <v>135</v>
      </c>
      <c r="Y85" s="5" t="s">
        <v>177</v>
      </c>
      <c r="Z85" s="11" t="n">
        <v>3</v>
      </c>
    </row>
    <row r="86" customFormat="false" ht="15" hidden="false" customHeight="false" outlineLevel="0" collapsed="false">
      <c r="A86" s="2" t="s">
        <v>284</v>
      </c>
      <c r="B86" s="8" t="n">
        <v>45968.8020833333</v>
      </c>
      <c r="C86" s="2" t="s">
        <v>126</v>
      </c>
      <c r="D86" s="2" t="s">
        <v>164</v>
      </c>
      <c r="E86" s="2" t="s">
        <v>165</v>
      </c>
      <c r="F86" s="2" t="s">
        <v>166</v>
      </c>
      <c r="G86" s="2" t="s">
        <v>167</v>
      </c>
      <c r="H86" s="2" t="s">
        <v>131</v>
      </c>
      <c r="I86" s="2" t="s">
        <v>132</v>
      </c>
      <c r="J86" s="2" t="s">
        <v>133</v>
      </c>
      <c r="K86" s="2"/>
      <c r="L86" s="3" t="n">
        <v>0</v>
      </c>
      <c r="M86" s="3" t="n">
        <v>15.98</v>
      </c>
      <c r="N86" s="3" t="n">
        <v>168.72</v>
      </c>
      <c r="O86" s="3" t="n">
        <v>0</v>
      </c>
      <c r="P86" s="3" t="n">
        <v>139.44</v>
      </c>
      <c r="Q86" s="3" t="n">
        <v>29.28</v>
      </c>
      <c r="R86" s="3" t="n">
        <f aca="false">P86+Q86</f>
        <v>168.72</v>
      </c>
      <c r="S86" s="3" t="n">
        <v>0</v>
      </c>
      <c r="T86" s="3" t="n">
        <v>73.8</v>
      </c>
      <c r="U86" s="3" t="n">
        <v>65.64</v>
      </c>
      <c r="V86" s="4" t="n">
        <f aca="false">IF(P86-(O86/1.21)=0,0,U86/(P86-(O86/1.21)))</f>
        <v>0.470740103270224</v>
      </c>
      <c r="W86" s="2" t="s">
        <v>145</v>
      </c>
      <c r="X86" s="2" t="s">
        <v>135</v>
      </c>
      <c r="Y86" s="2" t="s">
        <v>156</v>
      </c>
      <c r="Z86" s="9" t="n">
        <v>2</v>
      </c>
    </row>
    <row r="87" customFormat="false" ht="15" hidden="false" customHeight="false" outlineLevel="0" collapsed="false">
      <c r="A87" s="5" t="s">
        <v>285</v>
      </c>
      <c r="B87" s="10" t="n">
        <v>45969.375</v>
      </c>
      <c r="C87" s="5" t="s">
        <v>148</v>
      </c>
      <c r="D87" s="5" t="s">
        <v>139</v>
      </c>
      <c r="E87" s="5" t="s">
        <v>140</v>
      </c>
      <c r="F87" s="5" t="s">
        <v>141</v>
      </c>
      <c r="G87" s="5" t="s">
        <v>142</v>
      </c>
      <c r="H87" s="5" t="s">
        <v>143</v>
      </c>
      <c r="I87" s="5" t="s">
        <v>132</v>
      </c>
      <c r="J87" s="5" t="s">
        <v>133</v>
      </c>
      <c r="K87" s="5" t="s">
        <v>144</v>
      </c>
      <c r="L87" s="6" t="n">
        <v>47.94</v>
      </c>
      <c r="M87" s="6" t="n">
        <v>0</v>
      </c>
      <c r="N87" s="6" t="n">
        <v>239.7</v>
      </c>
      <c r="O87" s="6" t="n">
        <v>4.95</v>
      </c>
      <c r="P87" s="6" t="n">
        <v>162.57</v>
      </c>
      <c r="Q87" s="6" t="n">
        <v>34.14</v>
      </c>
      <c r="R87" s="6" t="n">
        <f aca="false">P87+Q87</f>
        <v>196.71</v>
      </c>
      <c r="S87" s="6" t="n">
        <v>0</v>
      </c>
      <c r="T87" s="6" t="n">
        <v>102</v>
      </c>
      <c r="U87" s="6" t="n">
        <v>56.48</v>
      </c>
      <c r="V87" s="7" t="n">
        <f aca="false">IF(P87-(O87/1.21)=0,0,U87/(P87-(O87/1.21)))</f>
        <v>0.356387708157658</v>
      </c>
      <c r="W87" s="5" t="s">
        <v>169</v>
      </c>
      <c r="X87" s="5" t="s">
        <v>170</v>
      </c>
      <c r="Y87" s="5" t="s">
        <v>154</v>
      </c>
      <c r="Z87" s="11" t="n">
        <v>1</v>
      </c>
    </row>
    <row r="88" customFormat="false" ht="15" hidden="false" customHeight="false" outlineLevel="0" collapsed="false">
      <c r="A88" s="2" t="s">
        <v>286</v>
      </c>
      <c r="B88" s="8" t="n">
        <v>45970.5416666667</v>
      </c>
      <c r="C88" s="2" t="s">
        <v>126</v>
      </c>
      <c r="D88" s="2" t="s">
        <v>164</v>
      </c>
      <c r="E88" s="2" t="s">
        <v>165</v>
      </c>
      <c r="F88" s="2" t="s">
        <v>166</v>
      </c>
      <c r="G88" s="2" t="s">
        <v>167</v>
      </c>
      <c r="H88" s="2" t="s">
        <v>131</v>
      </c>
      <c r="I88" s="2" t="s">
        <v>132</v>
      </c>
      <c r="J88" s="2" t="s">
        <v>133</v>
      </c>
      <c r="K88" s="2" t="s">
        <v>144</v>
      </c>
      <c r="L88" s="3" t="n">
        <v>1.96</v>
      </c>
      <c r="M88" s="3" t="n">
        <v>0.67</v>
      </c>
      <c r="N88" s="3" t="n">
        <v>9.8</v>
      </c>
      <c r="O88" s="3" t="n">
        <v>0</v>
      </c>
      <c r="P88" s="3" t="n">
        <v>7.13</v>
      </c>
      <c r="Q88" s="3" t="n">
        <v>0.71</v>
      </c>
      <c r="R88" s="3" t="n">
        <f aca="false">P88+Q88</f>
        <v>7.84</v>
      </c>
      <c r="S88" s="3" t="n">
        <v>0</v>
      </c>
      <c r="T88" s="3" t="n">
        <v>4.5</v>
      </c>
      <c r="U88" s="3" t="n">
        <v>2.63</v>
      </c>
      <c r="V88" s="4" t="n">
        <f aca="false">IF(P88-(O88/1.21)=0,0,U88/(P88-(O88/1.21)))</f>
        <v>0.368863955119215</v>
      </c>
      <c r="W88" s="2" t="s">
        <v>153</v>
      </c>
      <c r="X88" s="2" t="s">
        <v>135</v>
      </c>
      <c r="Y88" s="2" t="s">
        <v>156</v>
      </c>
      <c r="Z88" s="9" t="n">
        <v>2</v>
      </c>
    </row>
    <row r="89" customFormat="false" ht="15" hidden="false" customHeight="false" outlineLevel="0" collapsed="false">
      <c r="A89" s="5" t="s">
        <v>287</v>
      </c>
      <c r="B89" s="10" t="n">
        <v>45971.6770833333</v>
      </c>
      <c r="C89" s="5" t="s">
        <v>126</v>
      </c>
      <c r="D89" s="5" t="s">
        <v>149</v>
      </c>
      <c r="E89" s="5" t="s">
        <v>150</v>
      </c>
      <c r="F89" s="5" t="s">
        <v>151</v>
      </c>
      <c r="G89" s="5" t="s">
        <v>152</v>
      </c>
      <c r="H89" s="5" t="s">
        <v>131</v>
      </c>
      <c r="I89" s="5" t="s">
        <v>132</v>
      </c>
      <c r="J89" s="5" t="s">
        <v>133</v>
      </c>
      <c r="K89" s="5" t="s">
        <v>144</v>
      </c>
      <c r="L89" s="6" t="n">
        <v>9.42</v>
      </c>
      <c r="M89" s="6" t="n">
        <v>0.8</v>
      </c>
      <c r="N89" s="6" t="n">
        <v>47.09</v>
      </c>
      <c r="O89" s="6" t="n">
        <v>4.95</v>
      </c>
      <c r="P89" s="6" t="n">
        <v>35.7</v>
      </c>
      <c r="Q89" s="6" t="n">
        <v>6.92</v>
      </c>
      <c r="R89" s="6" t="n">
        <f aca="false">P89+Q89</f>
        <v>42.62</v>
      </c>
      <c r="S89" s="6" t="n">
        <v>0</v>
      </c>
      <c r="T89" s="6" t="n">
        <v>19.4</v>
      </c>
      <c r="U89" s="6" t="n">
        <v>12.21</v>
      </c>
      <c r="V89" s="7" t="n">
        <f aca="false">IF(P89-(O89/1.21)=0,0,U89/(P89-(O89/1.21)))</f>
        <v>0.386281276962899</v>
      </c>
      <c r="W89" s="5" t="s">
        <v>145</v>
      </c>
      <c r="X89" s="5" t="s">
        <v>170</v>
      </c>
      <c r="Y89" s="5" t="s">
        <v>177</v>
      </c>
      <c r="Z89" s="11" t="n">
        <v>2</v>
      </c>
    </row>
    <row r="90" customFormat="false" ht="15" hidden="false" customHeight="false" outlineLevel="0" collapsed="false">
      <c r="A90" s="2" t="s">
        <v>288</v>
      </c>
      <c r="B90" s="8" t="n">
        <v>45972.7395833333</v>
      </c>
      <c r="C90" s="2" t="s">
        <v>126</v>
      </c>
      <c r="D90" s="2" t="s">
        <v>173</v>
      </c>
      <c r="E90" s="2" t="s">
        <v>174</v>
      </c>
      <c r="F90" s="2" t="s">
        <v>175</v>
      </c>
      <c r="G90" s="2" t="s">
        <v>161</v>
      </c>
      <c r="H90" s="2" t="s">
        <v>131</v>
      </c>
      <c r="I90" s="2" t="s">
        <v>231</v>
      </c>
      <c r="J90" s="2" t="s">
        <v>133</v>
      </c>
      <c r="K90" s="2" t="s">
        <v>168</v>
      </c>
      <c r="L90" s="3" t="n">
        <v>26.68</v>
      </c>
      <c r="M90" s="3" t="n">
        <v>15.03</v>
      </c>
      <c r="N90" s="3" t="n">
        <v>177.85</v>
      </c>
      <c r="O90" s="3" t="n">
        <v>0</v>
      </c>
      <c r="P90" s="3" t="n">
        <v>128.15</v>
      </c>
      <c r="Q90" s="3" t="n">
        <v>23.02</v>
      </c>
      <c r="R90" s="3" t="n">
        <f aca="false">P90+Q90</f>
        <v>151.17</v>
      </c>
      <c r="S90" s="3" t="n">
        <v>151.17</v>
      </c>
      <c r="T90" s="3" t="n">
        <v>87.2</v>
      </c>
      <c r="U90" s="3" t="n">
        <v>40.95</v>
      </c>
      <c r="V90" s="4" t="n">
        <f aca="false">IF(P90-(O90/1.21)=0,0,U90/(P90-(O90/1.21)))</f>
        <v>0.319547405384315</v>
      </c>
      <c r="W90" s="2" t="s">
        <v>162</v>
      </c>
      <c r="X90" s="2" t="s">
        <v>135</v>
      </c>
      <c r="Y90" s="2" t="s">
        <v>177</v>
      </c>
      <c r="Z90" s="9" t="n">
        <v>2</v>
      </c>
    </row>
    <row r="91" customFormat="false" ht="15" hidden="false" customHeight="false" outlineLevel="0" collapsed="false">
      <c r="A91" s="5" t="s">
        <v>289</v>
      </c>
      <c r="B91" s="10" t="n">
        <v>45973.4791666667</v>
      </c>
      <c r="C91" s="5" t="s">
        <v>126</v>
      </c>
      <c r="D91" s="5" t="s">
        <v>164</v>
      </c>
      <c r="E91" s="5" t="s">
        <v>165</v>
      </c>
      <c r="F91" s="5" t="s">
        <v>166</v>
      </c>
      <c r="G91" s="5" t="s">
        <v>167</v>
      </c>
      <c r="H91" s="5" t="s">
        <v>131</v>
      </c>
      <c r="I91" s="5" t="s">
        <v>132</v>
      </c>
      <c r="J91" s="5" t="s">
        <v>133</v>
      </c>
      <c r="K91" s="5"/>
      <c r="L91" s="6" t="n">
        <v>0</v>
      </c>
      <c r="M91" s="6" t="n">
        <v>0</v>
      </c>
      <c r="N91" s="6" t="n">
        <v>269.7</v>
      </c>
      <c r="O91" s="6" t="n">
        <v>0</v>
      </c>
      <c r="P91" s="6" t="n">
        <v>222.89</v>
      </c>
      <c r="Q91" s="6" t="n">
        <v>46.81</v>
      </c>
      <c r="R91" s="6" t="n">
        <f aca="false">P91+Q91</f>
        <v>269.7</v>
      </c>
      <c r="S91" s="6" t="n">
        <v>0</v>
      </c>
      <c r="T91" s="6" t="n">
        <v>115.5</v>
      </c>
      <c r="U91" s="6" t="n">
        <v>107.39</v>
      </c>
      <c r="V91" s="7" t="n">
        <f aca="false">IF(P91-(O91/1.21)=0,0,U91/(P91-(O91/1.21)))</f>
        <v>0.481807169455785</v>
      </c>
      <c r="W91" s="5" t="s">
        <v>134</v>
      </c>
      <c r="X91" s="5" t="s">
        <v>135</v>
      </c>
      <c r="Y91" s="5" t="s">
        <v>156</v>
      </c>
      <c r="Z91" s="11" t="n">
        <v>1</v>
      </c>
    </row>
    <row r="92" customFormat="false" ht="15" hidden="false" customHeight="false" outlineLevel="0" collapsed="false">
      <c r="A92" s="2" t="s">
        <v>290</v>
      </c>
      <c r="B92" s="8" t="n">
        <v>45973.71875</v>
      </c>
      <c r="C92" s="2" t="s">
        <v>126</v>
      </c>
      <c r="D92" s="2" t="s">
        <v>158</v>
      </c>
      <c r="E92" s="2" t="s">
        <v>159</v>
      </c>
      <c r="F92" s="2" t="s">
        <v>160</v>
      </c>
      <c r="G92" s="2" t="s">
        <v>161</v>
      </c>
      <c r="H92" s="2" t="s">
        <v>131</v>
      </c>
      <c r="I92" s="2" t="s">
        <v>132</v>
      </c>
      <c r="J92" s="2" t="s">
        <v>133</v>
      </c>
      <c r="K92" s="2" t="s">
        <v>168</v>
      </c>
      <c r="L92" s="3" t="n">
        <v>10.3</v>
      </c>
      <c r="M92" s="3" t="n">
        <v>0</v>
      </c>
      <c r="N92" s="3" t="n">
        <v>68.7</v>
      </c>
      <c r="O92" s="3" t="n">
        <v>4.95</v>
      </c>
      <c r="P92" s="3" t="n">
        <v>52.35</v>
      </c>
      <c r="Q92" s="3" t="n">
        <v>11</v>
      </c>
      <c r="R92" s="3" t="n">
        <f aca="false">P92+Q92</f>
        <v>63.35</v>
      </c>
      <c r="S92" s="3" t="n">
        <v>0</v>
      </c>
      <c r="T92" s="3" t="n">
        <v>24</v>
      </c>
      <c r="U92" s="3" t="n">
        <v>24.26</v>
      </c>
      <c r="V92" s="4" t="n">
        <f aca="false">IF(P92-(O92/1.21)=0,0,U92/(P92-(O92/1.21)))</f>
        <v>0.502703211830084</v>
      </c>
      <c r="W92" s="2" t="s">
        <v>134</v>
      </c>
      <c r="X92" s="2" t="s">
        <v>170</v>
      </c>
      <c r="Y92" s="2" t="s">
        <v>154</v>
      </c>
      <c r="Z92" s="9" t="n">
        <v>1</v>
      </c>
    </row>
    <row r="93" customFormat="false" ht="15" hidden="false" customHeight="false" outlineLevel="0" collapsed="false">
      <c r="A93" s="5" t="s">
        <v>291</v>
      </c>
      <c r="B93" s="10" t="n">
        <v>45974.5520833333</v>
      </c>
      <c r="C93" s="5" t="s">
        <v>126</v>
      </c>
      <c r="D93" s="5" t="s">
        <v>164</v>
      </c>
      <c r="E93" s="5" t="s">
        <v>165</v>
      </c>
      <c r="F93" s="5" t="s">
        <v>166</v>
      </c>
      <c r="G93" s="5" t="s">
        <v>167</v>
      </c>
      <c r="H93" s="5" t="s">
        <v>131</v>
      </c>
      <c r="I93" s="5" t="s">
        <v>132</v>
      </c>
      <c r="J93" s="5" t="s">
        <v>133</v>
      </c>
      <c r="K93" s="5" t="s">
        <v>168</v>
      </c>
      <c r="L93" s="6" t="n">
        <v>10.85</v>
      </c>
      <c r="M93" s="6" t="n">
        <v>5.38</v>
      </c>
      <c r="N93" s="6" t="n">
        <v>72.31</v>
      </c>
      <c r="O93" s="6" t="n">
        <v>4.95</v>
      </c>
      <c r="P93" s="6" t="n">
        <v>55.42</v>
      </c>
      <c r="Q93" s="6" t="n">
        <v>10.99</v>
      </c>
      <c r="R93" s="6" t="n">
        <f aca="false">P93+Q93</f>
        <v>66.41</v>
      </c>
      <c r="S93" s="6" t="n">
        <v>0</v>
      </c>
      <c r="T93" s="6" t="n">
        <v>30</v>
      </c>
      <c r="U93" s="6" t="n">
        <v>21.33</v>
      </c>
      <c r="V93" s="7" t="n">
        <f aca="false">IF(P93-(O93/1.21)=0,0,U93/(P93-(O93/1.21)))</f>
        <v>0.415553823810705</v>
      </c>
      <c r="W93" s="5" t="s">
        <v>153</v>
      </c>
      <c r="X93" s="5" t="s">
        <v>170</v>
      </c>
      <c r="Y93" s="5" t="s">
        <v>177</v>
      </c>
      <c r="Z93" s="11" t="n">
        <v>3</v>
      </c>
    </row>
    <row r="94" customFormat="false" ht="15" hidden="false" customHeight="false" outlineLevel="0" collapsed="false">
      <c r="A94" s="2" t="s">
        <v>292</v>
      </c>
      <c r="B94" s="8" t="n">
        <v>45974.5729166667</v>
      </c>
      <c r="C94" s="2" t="s">
        <v>193</v>
      </c>
      <c r="D94" s="2" t="s">
        <v>149</v>
      </c>
      <c r="E94" s="2" t="s">
        <v>150</v>
      </c>
      <c r="F94" s="2" t="s">
        <v>151</v>
      </c>
      <c r="G94" s="2" t="s">
        <v>152</v>
      </c>
      <c r="H94" s="2" t="s">
        <v>131</v>
      </c>
      <c r="I94" s="2" t="s">
        <v>132</v>
      </c>
      <c r="J94" s="2" t="s">
        <v>133</v>
      </c>
      <c r="K94" s="2" t="s">
        <v>144</v>
      </c>
      <c r="L94" s="3" t="n">
        <v>319.6</v>
      </c>
      <c r="M94" s="3" t="n">
        <v>0</v>
      </c>
      <c r="N94" s="3" t="n">
        <v>1598</v>
      </c>
      <c r="O94" s="3" t="n">
        <v>0</v>
      </c>
      <c r="P94" s="3" t="n">
        <v>1056.53</v>
      </c>
      <c r="Q94" s="3" t="n">
        <v>221.87</v>
      </c>
      <c r="R94" s="3" t="n">
        <f aca="false">P94+Q94</f>
        <v>1278.4</v>
      </c>
      <c r="S94" s="3" t="n">
        <v>0</v>
      </c>
      <c r="T94" s="3" t="n">
        <v>1100</v>
      </c>
      <c r="U94" s="3" t="n">
        <v>-43.47</v>
      </c>
      <c r="V94" s="4" t="n">
        <f aca="false">IF(P94-(O94/1.21)=0,0,U94/(P94-(O94/1.21)))</f>
        <v>-0.0411441227414271</v>
      </c>
      <c r="W94" s="2" t="s">
        <v>153</v>
      </c>
      <c r="X94" s="2" t="s">
        <v>135</v>
      </c>
      <c r="Y94" s="2" t="s">
        <v>156</v>
      </c>
      <c r="Z94" s="9" t="n">
        <v>1</v>
      </c>
    </row>
    <row r="95" customFormat="false" ht="15" hidden="false" customHeight="false" outlineLevel="0" collapsed="false">
      <c r="A95" s="5" t="s">
        <v>293</v>
      </c>
      <c r="B95" s="10" t="n">
        <v>45975.375</v>
      </c>
      <c r="C95" s="5" t="s">
        <v>138</v>
      </c>
      <c r="D95" s="5" t="s">
        <v>158</v>
      </c>
      <c r="E95" s="5" t="s">
        <v>159</v>
      </c>
      <c r="F95" s="5" t="s">
        <v>160</v>
      </c>
      <c r="G95" s="5" t="s">
        <v>161</v>
      </c>
      <c r="H95" s="5" t="s">
        <v>131</v>
      </c>
      <c r="I95" s="5" t="s">
        <v>132</v>
      </c>
      <c r="J95" s="5" t="s">
        <v>133</v>
      </c>
      <c r="K95" s="5" t="s">
        <v>186</v>
      </c>
      <c r="L95" s="6" t="n">
        <v>0</v>
      </c>
      <c r="M95" s="6" t="n">
        <v>2.74</v>
      </c>
      <c r="N95" s="6" t="n">
        <v>52.16</v>
      </c>
      <c r="O95" s="6" t="n">
        <v>0</v>
      </c>
      <c r="P95" s="6" t="n">
        <v>43.11</v>
      </c>
      <c r="Q95" s="6" t="n">
        <v>9.05</v>
      </c>
      <c r="R95" s="6" t="n">
        <f aca="false">P95+Q95</f>
        <v>52.16</v>
      </c>
      <c r="S95" s="6" t="n">
        <v>0</v>
      </c>
      <c r="T95" s="6" t="n">
        <v>22</v>
      </c>
      <c r="U95" s="6" t="n">
        <v>21.11</v>
      </c>
      <c r="V95" s="7" t="n">
        <f aca="false">IF(P95-(O95/1.21)=0,0,U95/(P95-(O95/1.21)))</f>
        <v>0.489677569009511</v>
      </c>
      <c r="W95" s="5" t="s">
        <v>162</v>
      </c>
      <c r="X95" s="5" t="s">
        <v>146</v>
      </c>
      <c r="Y95" s="5" t="s">
        <v>136</v>
      </c>
      <c r="Z95" s="11" t="n">
        <v>1</v>
      </c>
    </row>
    <row r="96" customFormat="false" ht="15" hidden="false" customHeight="false" outlineLevel="0" collapsed="false">
      <c r="A96" s="2" t="s">
        <v>294</v>
      </c>
      <c r="B96" s="8" t="n">
        <v>45975.71875</v>
      </c>
      <c r="C96" s="2" t="s">
        <v>193</v>
      </c>
      <c r="D96" s="2" t="s">
        <v>179</v>
      </c>
      <c r="E96" s="2" t="s">
        <v>180</v>
      </c>
      <c r="F96" s="2" t="s">
        <v>181</v>
      </c>
      <c r="G96" s="2" t="s">
        <v>182</v>
      </c>
      <c r="H96" s="2" t="s">
        <v>131</v>
      </c>
      <c r="I96" s="2" t="s">
        <v>132</v>
      </c>
      <c r="J96" s="2" t="s">
        <v>133</v>
      </c>
      <c r="K96" s="2" t="s">
        <v>144</v>
      </c>
      <c r="L96" s="3" t="n">
        <v>11.98</v>
      </c>
      <c r="M96" s="3" t="n">
        <v>0</v>
      </c>
      <c r="N96" s="3" t="n">
        <v>59.9</v>
      </c>
      <c r="O96" s="3" t="n">
        <v>9.95</v>
      </c>
      <c r="P96" s="3" t="n">
        <v>47.82</v>
      </c>
      <c r="Q96" s="3" t="n">
        <v>10.05</v>
      </c>
      <c r="R96" s="3" t="n">
        <f aca="false">P96+Q96</f>
        <v>57.87</v>
      </c>
      <c r="S96" s="3" t="n">
        <v>0</v>
      </c>
      <c r="T96" s="3" t="n">
        <v>24</v>
      </c>
      <c r="U96" s="3" t="n">
        <v>15.6</v>
      </c>
      <c r="V96" s="4" t="n">
        <f aca="false">IF(P96-(O96/1.21)=0,0,U96/(P96-(O96/1.21)))</f>
        <v>0.393970637958599</v>
      </c>
      <c r="W96" s="2" t="s">
        <v>169</v>
      </c>
      <c r="X96" s="2" t="s">
        <v>146</v>
      </c>
      <c r="Y96" s="2" t="s">
        <v>156</v>
      </c>
      <c r="Z96" s="9" t="n">
        <v>1</v>
      </c>
    </row>
    <row r="97" customFormat="false" ht="15" hidden="false" customHeight="false" outlineLevel="0" collapsed="false">
      <c r="A97" s="5" t="s">
        <v>295</v>
      </c>
      <c r="B97" s="10" t="n">
        <v>45975.7708333333</v>
      </c>
      <c r="C97" s="5" t="s">
        <v>138</v>
      </c>
      <c r="D97" s="5" t="s">
        <v>173</v>
      </c>
      <c r="E97" s="5" t="s">
        <v>174</v>
      </c>
      <c r="F97" s="5" t="s">
        <v>175</v>
      </c>
      <c r="G97" s="5" t="s">
        <v>161</v>
      </c>
      <c r="H97" s="5" t="s">
        <v>131</v>
      </c>
      <c r="I97" s="5" t="s">
        <v>132</v>
      </c>
      <c r="J97" s="5" t="s">
        <v>133</v>
      </c>
      <c r="K97" s="5" t="s">
        <v>186</v>
      </c>
      <c r="L97" s="6" t="n">
        <v>0</v>
      </c>
      <c r="M97" s="6" t="n">
        <v>0</v>
      </c>
      <c r="N97" s="6" t="n">
        <v>32.8</v>
      </c>
      <c r="O97" s="6" t="n">
        <v>0</v>
      </c>
      <c r="P97" s="6" t="n">
        <v>27.11</v>
      </c>
      <c r="Q97" s="6" t="n">
        <v>5.69</v>
      </c>
      <c r="R97" s="6" t="n">
        <f aca="false">P97+Q97</f>
        <v>32.8</v>
      </c>
      <c r="S97" s="6" t="n">
        <v>0</v>
      </c>
      <c r="T97" s="6" t="n">
        <v>9.1</v>
      </c>
      <c r="U97" s="6" t="n">
        <v>18.01</v>
      </c>
      <c r="V97" s="7" t="n">
        <f aca="false">IF(P97-(O97/1.21)=0,0,U97/(P97-(O97/1.21)))</f>
        <v>0.66433050534858</v>
      </c>
      <c r="W97" s="5" t="s">
        <v>145</v>
      </c>
      <c r="X97" s="5" t="s">
        <v>135</v>
      </c>
      <c r="Y97" s="5" t="s">
        <v>154</v>
      </c>
      <c r="Z97" s="11" t="n">
        <v>2</v>
      </c>
    </row>
    <row r="98" customFormat="false" ht="15" hidden="false" customHeight="false" outlineLevel="0" collapsed="false">
      <c r="A98" s="2" t="s">
        <v>296</v>
      </c>
      <c r="B98" s="8" t="n">
        <v>45976.4375</v>
      </c>
      <c r="C98" s="2" t="s">
        <v>172</v>
      </c>
      <c r="D98" s="2" t="s">
        <v>149</v>
      </c>
      <c r="E98" s="2" t="s">
        <v>150</v>
      </c>
      <c r="F98" s="2" t="s">
        <v>151</v>
      </c>
      <c r="G98" s="2" t="s">
        <v>152</v>
      </c>
      <c r="H98" s="2" t="s">
        <v>131</v>
      </c>
      <c r="I98" s="2" t="s">
        <v>185</v>
      </c>
      <c r="J98" s="2" t="s">
        <v>185</v>
      </c>
      <c r="K98" s="2"/>
      <c r="L98" s="3" t="n">
        <v>0</v>
      </c>
      <c r="M98" s="3" t="n">
        <v>0</v>
      </c>
      <c r="N98" s="3" t="n">
        <v>44.9</v>
      </c>
      <c r="O98" s="3" t="n">
        <v>0</v>
      </c>
      <c r="P98" s="3" t="n">
        <v>37.11</v>
      </c>
      <c r="Q98" s="3" t="n">
        <v>7.79</v>
      </c>
      <c r="R98" s="3" t="n">
        <f aca="false">P98+Q98</f>
        <v>44.9</v>
      </c>
      <c r="S98" s="3" t="n">
        <v>0</v>
      </c>
      <c r="T98" s="3" t="n">
        <v>19</v>
      </c>
      <c r="U98" s="3" t="n">
        <v>18.11</v>
      </c>
      <c r="V98" s="4" t="n">
        <f aca="false">IF(P98-(O98/1.21)=0,0,U98/(P98-(O98/1.21)))</f>
        <v>0.488008623012665</v>
      </c>
      <c r="W98" s="2" t="s">
        <v>169</v>
      </c>
      <c r="X98" s="2" t="s">
        <v>135</v>
      </c>
      <c r="Y98" s="2" t="s">
        <v>154</v>
      </c>
      <c r="Z98" s="9" t="n">
        <v>1</v>
      </c>
    </row>
    <row r="99" customFormat="false" ht="15" hidden="false" customHeight="false" outlineLevel="0" collapsed="false">
      <c r="A99" s="5" t="s">
        <v>297</v>
      </c>
      <c r="B99" s="10" t="n">
        <v>45976.6979166667</v>
      </c>
      <c r="C99" s="5" t="s">
        <v>138</v>
      </c>
      <c r="D99" s="5" t="s">
        <v>158</v>
      </c>
      <c r="E99" s="5" t="s">
        <v>159</v>
      </c>
      <c r="F99" s="5" t="s">
        <v>160</v>
      </c>
      <c r="G99" s="5" t="s">
        <v>161</v>
      </c>
      <c r="H99" s="5" t="s">
        <v>131</v>
      </c>
      <c r="I99" s="5" t="s">
        <v>231</v>
      </c>
      <c r="J99" s="5" t="s">
        <v>133</v>
      </c>
      <c r="K99" s="5"/>
      <c r="L99" s="6" t="n">
        <v>0</v>
      </c>
      <c r="M99" s="6" t="n">
        <v>0</v>
      </c>
      <c r="N99" s="6" t="n">
        <v>279.6</v>
      </c>
      <c r="O99" s="6" t="n">
        <v>9.95</v>
      </c>
      <c r="P99" s="6" t="n">
        <v>239.29</v>
      </c>
      <c r="Q99" s="6" t="n">
        <v>50.26</v>
      </c>
      <c r="R99" s="6" t="n">
        <f aca="false">P99+Q99</f>
        <v>289.55</v>
      </c>
      <c r="S99" s="6" t="n">
        <v>289.55</v>
      </c>
      <c r="T99" s="6" t="n">
        <v>116</v>
      </c>
      <c r="U99" s="6" t="n">
        <v>115.07</v>
      </c>
      <c r="V99" s="7" t="n">
        <f aca="false">IF(P99-(O99/1.21)=0,0,U99/(P99-(O99/1.21)))</f>
        <v>0.497994391090697</v>
      </c>
      <c r="W99" s="5" t="s">
        <v>153</v>
      </c>
      <c r="X99" s="5" t="s">
        <v>146</v>
      </c>
      <c r="Y99" s="5" t="s">
        <v>154</v>
      </c>
      <c r="Z99" s="11" t="n">
        <v>1</v>
      </c>
    </row>
    <row r="100" customFormat="false" ht="15" hidden="false" customHeight="false" outlineLevel="0" collapsed="false">
      <c r="A100" s="2" t="s">
        <v>298</v>
      </c>
      <c r="B100" s="8" t="n">
        <v>45976.7604166667</v>
      </c>
      <c r="C100" s="2" t="s">
        <v>148</v>
      </c>
      <c r="D100" s="2" t="s">
        <v>149</v>
      </c>
      <c r="E100" s="2" t="s">
        <v>150</v>
      </c>
      <c r="F100" s="2" t="s">
        <v>151</v>
      </c>
      <c r="G100" s="2" t="s">
        <v>152</v>
      </c>
      <c r="H100" s="2" t="s">
        <v>131</v>
      </c>
      <c r="I100" s="2" t="s">
        <v>132</v>
      </c>
      <c r="J100" s="2" t="s">
        <v>133</v>
      </c>
      <c r="K100" s="2" t="s">
        <v>186</v>
      </c>
      <c r="L100" s="3" t="n">
        <v>0</v>
      </c>
      <c r="M100" s="3" t="n">
        <v>19.9</v>
      </c>
      <c r="N100" s="3" t="n">
        <v>272.47</v>
      </c>
      <c r="O100" s="3" t="n">
        <v>0</v>
      </c>
      <c r="P100" s="3" t="n">
        <v>226.3</v>
      </c>
      <c r="Q100" s="3" t="n">
        <v>46.17</v>
      </c>
      <c r="R100" s="3" t="n">
        <f aca="false">P100+Q100</f>
        <v>272.47</v>
      </c>
      <c r="S100" s="3" t="n">
        <v>0</v>
      </c>
      <c r="T100" s="3" t="n">
        <v>133.3</v>
      </c>
      <c r="U100" s="3" t="n">
        <v>93</v>
      </c>
      <c r="V100" s="4" t="n">
        <f aca="false">IF(P100-(O100/1.21)=0,0,U100/(P100-(O100/1.21)))</f>
        <v>0.410958904109589</v>
      </c>
      <c r="W100" s="2" t="s">
        <v>145</v>
      </c>
      <c r="X100" s="2" t="s">
        <v>170</v>
      </c>
      <c r="Y100" s="2" t="s">
        <v>177</v>
      </c>
      <c r="Z100" s="9" t="n">
        <v>3</v>
      </c>
    </row>
    <row r="101" customFormat="false" ht="15" hidden="false" customHeight="false" outlineLevel="0" collapsed="false">
      <c r="A101" s="5" t="s">
        <v>299</v>
      </c>
      <c r="B101" s="10" t="n">
        <v>45976.8854166667</v>
      </c>
      <c r="C101" s="5" t="s">
        <v>126</v>
      </c>
      <c r="D101" s="5" t="s">
        <v>179</v>
      </c>
      <c r="E101" s="5" t="s">
        <v>180</v>
      </c>
      <c r="F101" s="5" t="s">
        <v>181</v>
      </c>
      <c r="G101" s="5" t="s">
        <v>182</v>
      </c>
      <c r="H101" s="5" t="s">
        <v>131</v>
      </c>
      <c r="I101" s="5" t="s">
        <v>185</v>
      </c>
      <c r="J101" s="5" t="s">
        <v>185</v>
      </c>
      <c r="K101" s="5" t="s">
        <v>186</v>
      </c>
      <c r="L101" s="6" t="n">
        <v>0</v>
      </c>
      <c r="M101" s="6" t="n">
        <v>0.4</v>
      </c>
      <c r="N101" s="6" t="n">
        <v>7.59</v>
      </c>
      <c r="O101" s="6" t="n">
        <v>0</v>
      </c>
      <c r="P101" s="6" t="n">
        <v>6.9</v>
      </c>
      <c r="Q101" s="6" t="n">
        <v>0.69</v>
      </c>
      <c r="R101" s="6" t="n">
        <f aca="false">P101+Q101</f>
        <v>7.59</v>
      </c>
      <c r="S101" s="6" t="n">
        <v>0</v>
      </c>
      <c r="T101" s="6" t="n">
        <v>3.4</v>
      </c>
      <c r="U101" s="6" t="n">
        <v>3.5</v>
      </c>
      <c r="V101" s="7" t="n">
        <f aca="false">IF(P101-(O101/1.21)=0,0,U101/(P101-(O101/1.21)))</f>
        <v>0.507246376811594</v>
      </c>
      <c r="W101" s="5" t="s">
        <v>169</v>
      </c>
      <c r="X101" s="5" t="s">
        <v>135</v>
      </c>
      <c r="Y101" s="5" t="s">
        <v>156</v>
      </c>
      <c r="Z101" s="11" t="n">
        <v>1</v>
      </c>
    </row>
    <row r="102" customFormat="false" ht="15" hidden="false" customHeight="false" outlineLevel="0" collapsed="false">
      <c r="A102" s="2" t="s">
        <v>300</v>
      </c>
      <c r="B102" s="8" t="n">
        <v>45977.8333333333</v>
      </c>
      <c r="C102" s="2" t="s">
        <v>126</v>
      </c>
      <c r="D102" s="2" t="s">
        <v>258</v>
      </c>
      <c r="E102" s="2" t="s">
        <v>259</v>
      </c>
      <c r="F102" s="2" t="s">
        <v>260</v>
      </c>
      <c r="G102" s="2" t="s">
        <v>261</v>
      </c>
      <c r="H102" s="2" t="s">
        <v>131</v>
      </c>
      <c r="I102" s="2" t="s">
        <v>176</v>
      </c>
      <c r="J102" s="2" t="s">
        <v>133</v>
      </c>
      <c r="K102" s="2" t="s">
        <v>144</v>
      </c>
      <c r="L102" s="3" t="n">
        <v>29.36</v>
      </c>
      <c r="M102" s="3" t="n">
        <v>4</v>
      </c>
      <c r="N102" s="3" t="n">
        <v>146.78</v>
      </c>
      <c r="O102" s="3" t="n">
        <v>9.95</v>
      </c>
      <c r="P102" s="3" t="n">
        <v>106.32</v>
      </c>
      <c r="Q102" s="3" t="n">
        <v>21.05</v>
      </c>
      <c r="R102" s="3" t="n">
        <f aca="false">P102+Q102</f>
        <v>127.37</v>
      </c>
      <c r="S102" s="3" t="n">
        <v>60.72</v>
      </c>
      <c r="T102" s="3" t="n">
        <v>60.8</v>
      </c>
      <c r="U102" s="3" t="n">
        <v>37.3</v>
      </c>
      <c r="V102" s="4" t="n">
        <f aca="false">IF(P102-(O102/1.21)=0,0,U102/(P102-(O102/1.21)))</f>
        <v>0.380236433546874</v>
      </c>
      <c r="W102" s="2" t="s">
        <v>134</v>
      </c>
      <c r="X102" s="2" t="s">
        <v>146</v>
      </c>
      <c r="Y102" s="2" t="s">
        <v>136</v>
      </c>
      <c r="Z102" s="9" t="n">
        <v>3</v>
      </c>
    </row>
    <row r="103" customFormat="false" ht="15" hidden="false" customHeight="false" outlineLevel="0" collapsed="false">
      <c r="A103" s="5" t="s">
        <v>301</v>
      </c>
      <c r="B103" s="10" t="n">
        <v>45978.6041666667</v>
      </c>
      <c r="C103" s="5" t="s">
        <v>126</v>
      </c>
      <c r="D103" s="5" t="s">
        <v>223</v>
      </c>
      <c r="E103" s="5" t="s">
        <v>224</v>
      </c>
      <c r="F103" s="5" t="s">
        <v>225</v>
      </c>
      <c r="G103" s="5" t="s">
        <v>226</v>
      </c>
      <c r="H103" s="5" t="s">
        <v>131</v>
      </c>
      <c r="I103" s="5" t="s">
        <v>132</v>
      </c>
      <c r="J103" s="5" t="s">
        <v>133</v>
      </c>
      <c r="K103" s="5" t="s">
        <v>144</v>
      </c>
      <c r="L103" s="6" t="n">
        <v>3.38</v>
      </c>
      <c r="M103" s="6" t="n">
        <v>2.98</v>
      </c>
      <c r="N103" s="6" t="n">
        <v>16.92</v>
      </c>
      <c r="O103" s="6" t="n">
        <v>9.95</v>
      </c>
      <c r="P103" s="6" t="n">
        <v>19.41</v>
      </c>
      <c r="Q103" s="6" t="n">
        <v>4.08</v>
      </c>
      <c r="R103" s="6" t="n">
        <f aca="false">P103+Q103</f>
        <v>23.49</v>
      </c>
      <c r="S103" s="6" t="n">
        <v>0</v>
      </c>
      <c r="T103" s="6" t="n">
        <v>7</v>
      </c>
      <c r="U103" s="6" t="n">
        <v>4.19</v>
      </c>
      <c r="V103" s="7" t="n">
        <f aca="false">IF(P103-(O103/1.21)=0,0,U103/(P103-(O103/1.21)))</f>
        <v>0.374546582841439</v>
      </c>
      <c r="W103" s="5" t="s">
        <v>169</v>
      </c>
      <c r="X103" s="5" t="s">
        <v>146</v>
      </c>
      <c r="Y103" s="5" t="s">
        <v>154</v>
      </c>
      <c r="Z103" s="11" t="n">
        <v>1</v>
      </c>
    </row>
    <row r="104" customFormat="false" ht="15" hidden="false" customHeight="false" outlineLevel="0" collapsed="false">
      <c r="A104" s="2" t="s">
        <v>302</v>
      </c>
      <c r="B104" s="8" t="n">
        <v>45979.625</v>
      </c>
      <c r="C104" s="2" t="s">
        <v>138</v>
      </c>
      <c r="D104" s="2" t="s">
        <v>127</v>
      </c>
      <c r="E104" s="2" t="s">
        <v>128</v>
      </c>
      <c r="F104" s="2" t="s">
        <v>129</v>
      </c>
      <c r="G104" s="2" t="s">
        <v>130</v>
      </c>
      <c r="H104" s="2" t="s">
        <v>131</v>
      </c>
      <c r="I104" s="2" t="s">
        <v>231</v>
      </c>
      <c r="J104" s="2" t="s">
        <v>133</v>
      </c>
      <c r="K104" s="2" t="s">
        <v>168</v>
      </c>
      <c r="L104" s="3" t="n">
        <v>0.75</v>
      </c>
      <c r="M104" s="3" t="n">
        <v>0</v>
      </c>
      <c r="N104" s="3" t="n">
        <v>4.99</v>
      </c>
      <c r="O104" s="3" t="n">
        <v>0</v>
      </c>
      <c r="P104" s="3" t="n">
        <v>3.85</v>
      </c>
      <c r="Q104" s="3" t="n">
        <v>0.39</v>
      </c>
      <c r="R104" s="3" t="n">
        <f aca="false">P104+Q104</f>
        <v>4.24</v>
      </c>
      <c r="S104" s="3" t="n">
        <v>4.24</v>
      </c>
      <c r="T104" s="3" t="n">
        <v>2.3</v>
      </c>
      <c r="U104" s="3" t="n">
        <v>1.55</v>
      </c>
      <c r="V104" s="4" t="n">
        <f aca="false">IF(P104-(O104/1.21)=0,0,U104/(P104-(O104/1.21)))</f>
        <v>0.402597402597403</v>
      </c>
      <c r="W104" s="2" t="s">
        <v>162</v>
      </c>
      <c r="X104" s="2" t="s">
        <v>135</v>
      </c>
      <c r="Y104" s="2" t="s">
        <v>136</v>
      </c>
      <c r="Z104" s="9" t="n">
        <v>1</v>
      </c>
    </row>
    <row r="105" customFormat="false" ht="15" hidden="false" customHeight="false" outlineLevel="0" collapsed="false">
      <c r="A105" s="5" t="s">
        <v>303</v>
      </c>
      <c r="B105" s="10" t="n">
        <v>45979.625</v>
      </c>
      <c r="C105" s="5" t="s">
        <v>138</v>
      </c>
      <c r="D105" s="5" t="s">
        <v>158</v>
      </c>
      <c r="E105" s="5" t="s">
        <v>159</v>
      </c>
      <c r="F105" s="5" t="s">
        <v>160</v>
      </c>
      <c r="G105" s="5" t="s">
        <v>161</v>
      </c>
      <c r="H105" s="5" t="s">
        <v>131</v>
      </c>
      <c r="I105" s="5" t="s">
        <v>176</v>
      </c>
      <c r="J105" s="5" t="s">
        <v>133</v>
      </c>
      <c r="K105" s="5" t="s">
        <v>186</v>
      </c>
      <c r="L105" s="6" t="n">
        <v>0</v>
      </c>
      <c r="M105" s="6" t="n">
        <v>1.94</v>
      </c>
      <c r="N105" s="6" t="n">
        <v>65.86</v>
      </c>
      <c r="O105" s="6" t="n">
        <v>0</v>
      </c>
      <c r="P105" s="6" t="n">
        <v>54.43</v>
      </c>
      <c r="Q105" s="6" t="n">
        <v>11.43</v>
      </c>
      <c r="R105" s="6" t="n">
        <f aca="false">P105+Q105</f>
        <v>65.86</v>
      </c>
      <c r="S105" s="6" t="n">
        <v>54.9</v>
      </c>
      <c r="T105" s="6" t="n">
        <v>24.1</v>
      </c>
      <c r="U105" s="6" t="n">
        <v>30.33</v>
      </c>
      <c r="V105" s="7" t="n">
        <f aca="false">IF(P105-(O105/1.21)=0,0,U105/(P105-(O105/1.21)))</f>
        <v>0.557229469042807</v>
      </c>
      <c r="W105" s="5" t="s">
        <v>153</v>
      </c>
      <c r="X105" s="5" t="s">
        <v>135</v>
      </c>
      <c r="Y105" s="5" t="s">
        <v>136</v>
      </c>
      <c r="Z105" s="11" t="n">
        <v>2</v>
      </c>
    </row>
    <row r="106" customFormat="false" ht="15" hidden="false" customHeight="false" outlineLevel="0" collapsed="false">
      <c r="A106" s="2" t="s">
        <v>304</v>
      </c>
      <c r="B106" s="8" t="n">
        <v>45979.8854166667</v>
      </c>
      <c r="C106" s="2" t="s">
        <v>126</v>
      </c>
      <c r="D106" s="2" t="s">
        <v>202</v>
      </c>
      <c r="E106" s="2" t="s">
        <v>203</v>
      </c>
      <c r="F106" s="2" t="s">
        <v>204</v>
      </c>
      <c r="G106" s="2" t="s">
        <v>205</v>
      </c>
      <c r="H106" s="2" t="s">
        <v>131</v>
      </c>
      <c r="I106" s="2" t="s">
        <v>132</v>
      </c>
      <c r="J106" s="2" t="s">
        <v>133</v>
      </c>
      <c r="K106" s="2"/>
      <c r="L106" s="3" t="n">
        <v>0</v>
      </c>
      <c r="M106" s="3" t="n">
        <v>0</v>
      </c>
      <c r="N106" s="3" t="n">
        <v>4.99</v>
      </c>
      <c r="O106" s="3" t="n">
        <v>9.95</v>
      </c>
      <c r="P106" s="3" t="n">
        <v>12.76</v>
      </c>
      <c r="Q106" s="3" t="n">
        <v>2.18</v>
      </c>
      <c r="R106" s="3" t="n">
        <f aca="false">P106+Q106</f>
        <v>14.94</v>
      </c>
      <c r="S106" s="3" t="n">
        <v>0</v>
      </c>
      <c r="T106" s="3" t="n">
        <v>2.3</v>
      </c>
      <c r="U106" s="3" t="n">
        <v>2.24</v>
      </c>
      <c r="V106" s="4" t="n">
        <f aca="false">IF(P106-(O106/1.21)=0,0,U106/(P106-(O106/1.21)))</f>
        <v>0.493733605362868</v>
      </c>
      <c r="W106" s="2" t="s">
        <v>162</v>
      </c>
      <c r="X106" s="2" t="s">
        <v>146</v>
      </c>
      <c r="Y106" s="2" t="s">
        <v>136</v>
      </c>
      <c r="Z106" s="9" t="n">
        <v>1</v>
      </c>
    </row>
    <row r="107" customFormat="false" ht="15" hidden="false" customHeight="false" outlineLevel="0" collapsed="false">
      <c r="A107" s="5" t="s">
        <v>305</v>
      </c>
      <c r="B107" s="10" t="n">
        <v>45980.4375</v>
      </c>
      <c r="C107" s="5" t="s">
        <v>172</v>
      </c>
      <c r="D107" s="5" t="s">
        <v>164</v>
      </c>
      <c r="E107" s="5" t="s">
        <v>165</v>
      </c>
      <c r="F107" s="5" t="s">
        <v>166</v>
      </c>
      <c r="G107" s="5" t="s">
        <v>167</v>
      </c>
      <c r="H107" s="5" t="s">
        <v>131</v>
      </c>
      <c r="I107" s="5" t="s">
        <v>132</v>
      </c>
      <c r="J107" s="5" t="s">
        <v>133</v>
      </c>
      <c r="K107" s="5" t="s">
        <v>144</v>
      </c>
      <c r="L107" s="6" t="n">
        <v>3.78</v>
      </c>
      <c r="M107" s="6" t="n">
        <v>0</v>
      </c>
      <c r="N107" s="6" t="n">
        <v>18.9</v>
      </c>
      <c r="O107" s="6" t="n">
        <v>0</v>
      </c>
      <c r="P107" s="6" t="n">
        <v>12.5</v>
      </c>
      <c r="Q107" s="6" t="n">
        <v>2.62</v>
      </c>
      <c r="R107" s="6" t="n">
        <f aca="false">P107+Q107</f>
        <v>15.12</v>
      </c>
      <c r="S107" s="6" t="n">
        <v>0</v>
      </c>
      <c r="T107" s="6" t="n">
        <v>6.5</v>
      </c>
      <c r="U107" s="6" t="n">
        <v>6</v>
      </c>
      <c r="V107" s="7" t="n">
        <f aca="false">IF(P107-(O107/1.21)=0,0,U107/(P107-(O107/1.21)))</f>
        <v>0.48</v>
      </c>
      <c r="W107" s="5" t="s">
        <v>162</v>
      </c>
      <c r="X107" s="5" t="s">
        <v>135</v>
      </c>
      <c r="Y107" s="5" t="s">
        <v>177</v>
      </c>
      <c r="Z107" s="11" t="n">
        <v>1</v>
      </c>
    </row>
    <row r="108" customFormat="false" ht="15" hidden="false" customHeight="false" outlineLevel="0" collapsed="false">
      <c r="A108" s="2" t="s">
        <v>306</v>
      </c>
      <c r="B108" s="8" t="n">
        <v>45980.5625</v>
      </c>
      <c r="C108" s="2" t="s">
        <v>126</v>
      </c>
      <c r="D108" s="2" t="s">
        <v>217</v>
      </c>
      <c r="E108" s="2" t="s">
        <v>218</v>
      </c>
      <c r="F108" s="2" t="s">
        <v>219</v>
      </c>
      <c r="G108" s="2" t="s">
        <v>220</v>
      </c>
      <c r="H108" s="2" t="s">
        <v>131</v>
      </c>
      <c r="I108" s="2" t="s">
        <v>132</v>
      </c>
      <c r="J108" s="2" t="s">
        <v>133</v>
      </c>
      <c r="K108" s="2" t="s">
        <v>186</v>
      </c>
      <c r="L108" s="3" t="n">
        <v>0</v>
      </c>
      <c r="M108" s="3" t="n">
        <v>0</v>
      </c>
      <c r="N108" s="3" t="n">
        <v>9.98</v>
      </c>
      <c r="O108" s="3" t="n">
        <v>0</v>
      </c>
      <c r="P108" s="3" t="n">
        <v>9.07</v>
      </c>
      <c r="Q108" s="3" t="n">
        <v>0.91</v>
      </c>
      <c r="R108" s="3" t="n">
        <f aca="false">P108+Q108</f>
        <v>9.98</v>
      </c>
      <c r="S108" s="3" t="n">
        <v>0</v>
      </c>
      <c r="T108" s="3" t="n">
        <v>4.6</v>
      </c>
      <c r="U108" s="3" t="n">
        <v>4.47</v>
      </c>
      <c r="V108" s="4" t="n">
        <f aca="false">IF(P108-(O108/1.21)=0,0,U108/(P108-(O108/1.21)))</f>
        <v>0.492833517089305</v>
      </c>
      <c r="W108" s="2" t="s">
        <v>134</v>
      </c>
      <c r="X108" s="2" t="s">
        <v>146</v>
      </c>
      <c r="Y108" s="2" t="s">
        <v>177</v>
      </c>
      <c r="Z108" s="9" t="n">
        <v>1</v>
      </c>
    </row>
    <row r="109" customFormat="false" ht="15" hidden="false" customHeight="false" outlineLevel="0" collapsed="false">
      <c r="A109" s="5" t="s">
        <v>307</v>
      </c>
      <c r="B109" s="10" t="n">
        <v>45982.7916666667</v>
      </c>
      <c r="C109" s="5" t="s">
        <v>126</v>
      </c>
      <c r="D109" s="5" t="s">
        <v>188</v>
      </c>
      <c r="E109" s="5" t="s">
        <v>189</v>
      </c>
      <c r="F109" s="5" t="s">
        <v>190</v>
      </c>
      <c r="G109" s="5" t="s">
        <v>191</v>
      </c>
      <c r="H109" s="5" t="s">
        <v>131</v>
      </c>
      <c r="I109" s="5" t="s">
        <v>132</v>
      </c>
      <c r="J109" s="5" t="s">
        <v>133</v>
      </c>
      <c r="K109" s="5" t="s">
        <v>168</v>
      </c>
      <c r="L109" s="6" t="n">
        <v>10.45</v>
      </c>
      <c r="M109" s="6" t="n">
        <v>0</v>
      </c>
      <c r="N109" s="6" t="n">
        <v>69.68</v>
      </c>
      <c r="O109" s="6" t="n">
        <v>9.95</v>
      </c>
      <c r="P109" s="6" t="n">
        <v>59.27</v>
      </c>
      <c r="Q109" s="6" t="n">
        <v>9.91</v>
      </c>
      <c r="R109" s="6" t="n">
        <f aca="false">P109+Q109</f>
        <v>69.18</v>
      </c>
      <c r="S109" s="6" t="n">
        <v>0</v>
      </c>
      <c r="T109" s="6" t="n">
        <v>33.8</v>
      </c>
      <c r="U109" s="6" t="n">
        <v>17.25</v>
      </c>
      <c r="V109" s="7" t="n">
        <f aca="false">IF(P109-(O109/1.21)=0,0,U109/(P109-(O109/1.21)))</f>
        <v>0.337924804142038</v>
      </c>
      <c r="W109" s="5" t="s">
        <v>134</v>
      </c>
      <c r="X109" s="5" t="s">
        <v>146</v>
      </c>
      <c r="Y109" s="5" t="s">
        <v>156</v>
      </c>
      <c r="Z109" s="11" t="n">
        <v>2</v>
      </c>
    </row>
    <row r="110" customFormat="false" ht="15" hidden="false" customHeight="false" outlineLevel="0" collapsed="false">
      <c r="A110" s="2" t="s">
        <v>308</v>
      </c>
      <c r="B110" s="8" t="n">
        <v>45983.71875</v>
      </c>
      <c r="C110" s="2" t="s">
        <v>126</v>
      </c>
      <c r="D110" s="2" t="s">
        <v>173</v>
      </c>
      <c r="E110" s="2" t="s">
        <v>174</v>
      </c>
      <c r="F110" s="2" t="s">
        <v>175</v>
      </c>
      <c r="G110" s="2" t="s">
        <v>161</v>
      </c>
      <c r="H110" s="2" t="s">
        <v>131</v>
      </c>
      <c r="I110" s="2" t="s">
        <v>132</v>
      </c>
      <c r="J110" s="2" t="s">
        <v>133</v>
      </c>
      <c r="K110" s="2" t="s">
        <v>144</v>
      </c>
      <c r="L110" s="3" t="n">
        <v>27.8</v>
      </c>
      <c r="M110" s="3" t="n">
        <v>0</v>
      </c>
      <c r="N110" s="3" t="n">
        <v>139</v>
      </c>
      <c r="O110" s="3" t="n">
        <v>4.95</v>
      </c>
      <c r="P110" s="3" t="n">
        <v>95.99</v>
      </c>
      <c r="Q110" s="3" t="n">
        <v>20.16</v>
      </c>
      <c r="R110" s="3" t="n">
        <f aca="false">P110+Q110</f>
        <v>116.15</v>
      </c>
      <c r="S110" s="3" t="n">
        <v>0</v>
      </c>
      <c r="T110" s="3" t="n">
        <v>62</v>
      </c>
      <c r="U110" s="3" t="n">
        <v>29.9</v>
      </c>
      <c r="V110" s="4" t="n">
        <f aca="false">IF(P110-(O110/1.21)=0,0,U110/(P110-(O110/1.21)))</f>
        <v>0.325356863753722</v>
      </c>
      <c r="W110" s="2" t="s">
        <v>145</v>
      </c>
      <c r="X110" s="2" t="s">
        <v>170</v>
      </c>
      <c r="Y110" s="2" t="s">
        <v>177</v>
      </c>
      <c r="Z110" s="9" t="n">
        <v>1</v>
      </c>
    </row>
    <row r="111" customFormat="false" ht="15" hidden="false" customHeight="false" outlineLevel="0" collapsed="false">
      <c r="A111" s="5" t="s">
        <v>309</v>
      </c>
      <c r="B111" s="10" t="n">
        <v>45983.8333333333</v>
      </c>
      <c r="C111" s="5" t="s">
        <v>148</v>
      </c>
      <c r="D111" s="5" t="s">
        <v>188</v>
      </c>
      <c r="E111" s="5" t="s">
        <v>189</v>
      </c>
      <c r="F111" s="5" t="s">
        <v>190</v>
      </c>
      <c r="G111" s="5" t="s">
        <v>191</v>
      </c>
      <c r="H111" s="5" t="s">
        <v>131</v>
      </c>
      <c r="I111" s="5" t="s">
        <v>132</v>
      </c>
      <c r="J111" s="5" t="s">
        <v>133</v>
      </c>
      <c r="K111" s="5" t="s">
        <v>186</v>
      </c>
      <c r="L111" s="6" t="n">
        <v>0</v>
      </c>
      <c r="M111" s="6" t="n">
        <v>4</v>
      </c>
      <c r="N111" s="6" t="n">
        <v>75.9</v>
      </c>
      <c r="O111" s="6" t="n">
        <v>0</v>
      </c>
      <c r="P111" s="6" t="n">
        <v>62.73</v>
      </c>
      <c r="Q111" s="6" t="n">
        <v>13.17</v>
      </c>
      <c r="R111" s="6" t="n">
        <f aca="false">P111+Q111</f>
        <v>75.9</v>
      </c>
      <c r="S111" s="6" t="n">
        <v>0</v>
      </c>
      <c r="T111" s="6" t="n">
        <v>32</v>
      </c>
      <c r="U111" s="6" t="n">
        <v>30.73</v>
      </c>
      <c r="V111" s="7" t="n">
        <f aca="false">IF(P111-(O111/1.21)=0,0,U111/(P111-(O111/1.21)))</f>
        <v>0.489877251713694</v>
      </c>
      <c r="W111" s="5" t="s">
        <v>169</v>
      </c>
      <c r="X111" s="5" t="s">
        <v>146</v>
      </c>
      <c r="Y111" s="5" t="s">
        <v>156</v>
      </c>
      <c r="Z111" s="11" t="n">
        <v>1</v>
      </c>
    </row>
    <row r="112" customFormat="false" ht="15" hidden="false" customHeight="false" outlineLevel="0" collapsed="false">
      <c r="A112" s="2" t="s">
        <v>310</v>
      </c>
      <c r="B112" s="8" t="n">
        <v>45986.59375</v>
      </c>
      <c r="C112" s="2" t="s">
        <v>172</v>
      </c>
      <c r="D112" s="2" t="s">
        <v>164</v>
      </c>
      <c r="E112" s="2" t="s">
        <v>165</v>
      </c>
      <c r="F112" s="2" t="s">
        <v>166</v>
      </c>
      <c r="G112" s="2" t="s">
        <v>167</v>
      </c>
      <c r="H112" s="2" t="s">
        <v>131</v>
      </c>
      <c r="I112" s="2" t="s">
        <v>132</v>
      </c>
      <c r="J112" s="2" t="s">
        <v>133</v>
      </c>
      <c r="K112" s="2" t="s">
        <v>168</v>
      </c>
      <c r="L112" s="3" t="n">
        <v>13.8</v>
      </c>
      <c r="M112" s="3" t="n">
        <v>0.37</v>
      </c>
      <c r="N112" s="3" t="n">
        <v>92.02</v>
      </c>
      <c r="O112" s="3" t="n">
        <v>9.95</v>
      </c>
      <c r="P112" s="3" t="n">
        <v>73.02</v>
      </c>
      <c r="Q112" s="3" t="n">
        <v>15.15</v>
      </c>
      <c r="R112" s="3" t="n">
        <f aca="false">P112+Q112</f>
        <v>88.17</v>
      </c>
      <c r="S112" s="3" t="n">
        <v>0</v>
      </c>
      <c r="T112" s="3" t="n">
        <v>49.5</v>
      </c>
      <c r="U112" s="3" t="n">
        <v>15.3</v>
      </c>
      <c r="V112" s="4" t="n">
        <f aca="false">IF(P112-(O112/1.21)=0,0,U112/(P112-(O112/1.21)))</f>
        <v>0.236122554659062</v>
      </c>
      <c r="W112" s="2" t="s">
        <v>153</v>
      </c>
      <c r="X112" s="2" t="s">
        <v>146</v>
      </c>
      <c r="Y112" s="2" t="s">
        <v>177</v>
      </c>
      <c r="Z112" s="9" t="n">
        <v>2</v>
      </c>
    </row>
    <row r="113" customFormat="false" ht="15" hidden="false" customHeight="false" outlineLevel="0" collapsed="false">
      <c r="A113" s="5" t="s">
        <v>311</v>
      </c>
      <c r="B113" s="10" t="n">
        <v>45987.71875</v>
      </c>
      <c r="C113" s="5" t="s">
        <v>126</v>
      </c>
      <c r="D113" s="5" t="s">
        <v>127</v>
      </c>
      <c r="E113" s="5" t="s">
        <v>128</v>
      </c>
      <c r="F113" s="5" t="s">
        <v>129</v>
      </c>
      <c r="G113" s="5" t="s">
        <v>130</v>
      </c>
      <c r="H113" s="5" t="s">
        <v>131</v>
      </c>
      <c r="I113" s="5" t="s">
        <v>132</v>
      </c>
      <c r="J113" s="5" t="s">
        <v>133</v>
      </c>
      <c r="K113" s="5"/>
      <c r="L113" s="6" t="n">
        <v>0</v>
      </c>
      <c r="M113" s="6" t="n">
        <v>0</v>
      </c>
      <c r="N113" s="6" t="n">
        <v>44.78</v>
      </c>
      <c r="O113" s="6" t="n">
        <v>4.95</v>
      </c>
      <c r="P113" s="6" t="n">
        <v>41.51</v>
      </c>
      <c r="Q113" s="6" t="n">
        <v>8.22</v>
      </c>
      <c r="R113" s="6" t="n">
        <f aca="false">P113+Q113</f>
        <v>49.73</v>
      </c>
      <c r="S113" s="6" t="n">
        <v>0</v>
      </c>
      <c r="T113" s="6" t="n">
        <v>17</v>
      </c>
      <c r="U113" s="6" t="n">
        <v>20.42</v>
      </c>
      <c r="V113" s="7" t="n">
        <f aca="false">IF(P113-(O113/1.21)=0,0,U113/(P113-(O113/1.21)))</f>
        <v>0.545710745608707</v>
      </c>
      <c r="W113" s="5" t="s">
        <v>162</v>
      </c>
      <c r="X113" s="5" t="s">
        <v>170</v>
      </c>
      <c r="Y113" s="5" t="s">
        <v>136</v>
      </c>
      <c r="Z113" s="11" t="n">
        <v>2</v>
      </c>
    </row>
    <row r="114" customFormat="false" ht="15" hidden="false" customHeight="false" outlineLevel="0" collapsed="false">
      <c r="A114" s="2" t="s">
        <v>312</v>
      </c>
      <c r="B114" s="8" t="n">
        <v>45988.4270833333</v>
      </c>
      <c r="C114" s="2" t="s">
        <v>148</v>
      </c>
      <c r="D114" s="2" t="s">
        <v>149</v>
      </c>
      <c r="E114" s="2" t="s">
        <v>150</v>
      </c>
      <c r="F114" s="2" t="s">
        <v>151</v>
      </c>
      <c r="G114" s="2" t="s">
        <v>152</v>
      </c>
      <c r="H114" s="2" t="s">
        <v>131</v>
      </c>
      <c r="I114" s="2" t="s">
        <v>132</v>
      </c>
      <c r="J114" s="2" t="s">
        <v>133</v>
      </c>
      <c r="K114" s="2" t="s">
        <v>186</v>
      </c>
      <c r="L114" s="3" t="n">
        <v>0</v>
      </c>
      <c r="M114" s="3" t="n">
        <v>6.73</v>
      </c>
      <c r="N114" s="3" t="n">
        <v>125.88</v>
      </c>
      <c r="O114" s="3" t="n">
        <v>0</v>
      </c>
      <c r="P114" s="3" t="n">
        <v>107.18</v>
      </c>
      <c r="Q114" s="3" t="n">
        <v>18.7</v>
      </c>
      <c r="R114" s="3" t="n">
        <f aca="false">P114+Q114</f>
        <v>125.88</v>
      </c>
      <c r="S114" s="3" t="n">
        <v>0</v>
      </c>
      <c r="T114" s="3" t="n">
        <v>54.7</v>
      </c>
      <c r="U114" s="3" t="n">
        <v>52.48</v>
      </c>
      <c r="V114" s="4" t="n">
        <f aca="false">IF(P114-(O114/1.21)=0,0,U114/(P114-(O114/1.21)))</f>
        <v>0.489643590222056</v>
      </c>
      <c r="W114" s="2" t="s">
        <v>153</v>
      </c>
      <c r="X114" s="2" t="s">
        <v>170</v>
      </c>
      <c r="Y114" s="2" t="s">
        <v>154</v>
      </c>
      <c r="Z114" s="9" t="n">
        <v>4</v>
      </c>
    </row>
    <row r="115" customFormat="false" ht="15" hidden="false" customHeight="false" outlineLevel="0" collapsed="false">
      <c r="A115" s="5" t="s">
        <v>313</v>
      </c>
      <c r="B115" s="10" t="n">
        <v>45990.6875</v>
      </c>
      <c r="C115" s="5" t="s">
        <v>193</v>
      </c>
      <c r="D115" s="5" t="s">
        <v>258</v>
      </c>
      <c r="E115" s="5" t="s">
        <v>259</v>
      </c>
      <c r="F115" s="5" t="s">
        <v>260</v>
      </c>
      <c r="G115" s="5" t="s">
        <v>261</v>
      </c>
      <c r="H115" s="5" t="s">
        <v>131</v>
      </c>
      <c r="I115" s="5" t="s">
        <v>132</v>
      </c>
      <c r="J115" s="5" t="s">
        <v>133</v>
      </c>
      <c r="K115" s="5" t="s">
        <v>186</v>
      </c>
      <c r="L115" s="6" t="n">
        <v>0</v>
      </c>
      <c r="M115" s="6" t="n">
        <v>11.9</v>
      </c>
      <c r="N115" s="6" t="n">
        <v>249.09</v>
      </c>
      <c r="O115" s="6" t="n">
        <v>0</v>
      </c>
      <c r="P115" s="6" t="n">
        <v>206.11</v>
      </c>
      <c r="Q115" s="6" t="n">
        <v>42.98</v>
      </c>
      <c r="R115" s="6" t="n">
        <f aca="false">P115+Q115</f>
        <v>249.09</v>
      </c>
      <c r="S115" s="6" t="n">
        <v>0</v>
      </c>
      <c r="T115" s="6" t="n">
        <v>118.2</v>
      </c>
      <c r="U115" s="6" t="n">
        <v>87.91</v>
      </c>
      <c r="V115" s="7" t="n">
        <f aca="false">IF(P115-(O115/1.21)=0,0,U115/(P115-(O115/1.21)))</f>
        <v>0.426519819513852</v>
      </c>
      <c r="W115" s="5" t="s">
        <v>153</v>
      </c>
      <c r="X115" s="5" t="s">
        <v>170</v>
      </c>
      <c r="Y115" s="5" t="s">
        <v>136</v>
      </c>
      <c r="Z115" s="11" t="n">
        <v>3</v>
      </c>
    </row>
    <row r="116" customFormat="false" ht="15" hidden="false" customHeight="false" outlineLevel="0" collapsed="false">
      <c r="A116" s="2" t="s">
        <v>314</v>
      </c>
      <c r="B116" s="8" t="n">
        <v>45991.59375</v>
      </c>
      <c r="C116" s="2" t="s">
        <v>126</v>
      </c>
      <c r="D116" s="2" t="s">
        <v>223</v>
      </c>
      <c r="E116" s="2" t="s">
        <v>224</v>
      </c>
      <c r="F116" s="2" t="s">
        <v>225</v>
      </c>
      <c r="G116" s="2" t="s">
        <v>226</v>
      </c>
      <c r="H116" s="2" t="s">
        <v>131</v>
      </c>
      <c r="I116" s="2" t="s">
        <v>132</v>
      </c>
      <c r="J116" s="2" t="s">
        <v>133</v>
      </c>
      <c r="K116" s="2"/>
      <c r="L116" s="3" t="n">
        <v>0</v>
      </c>
      <c r="M116" s="3" t="n">
        <v>2.4</v>
      </c>
      <c r="N116" s="3" t="n">
        <v>96.38</v>
      </c>
      <c r="O116" s="3" t="n">
        <v>9.95</v>
      </c>
      <c r="P116" s="3" t="n">
        <v>89</v>
      </c>
      <c r="Q116" s="3" t="n">
        <v>17.33</v>
      </c>
      <c r="R116" s="3" t="n">
        <f aca="false">P116+Q116</f>
        <v>106.33</v>
      </c>
      <c r="S116" s="3" t="n">
        <v>0</v>
      </c>
      <c r="T116" s="3" t="n">
        <v>40.8</v>
      </c>
      <c r="U116" s="3" t="n">
        <v>39.98</v>
      </c>
      <c r="V116" s="4" t="n">
        <f aca="false">IF(P116-(O116/1.21)=0,0,U116/(P116-(O116/1.21)))</f>
        <v>0.494943728258645</v>
      </c>
      <c r="W116" s="2" t="s">
        <v>145</v>
      </c>
      <c r="X116" s="2" t="s">
        <v>146</v>
      </c>
      <c r="Y116" s="2" t="s">
        <v>156</v>
      </c>
      <c r="Z116" s="9" t="n">
        <v>3</v>
      </c>
    </row>
    <row r="117" customFormat="false" ht="15" hidden="false" customHeight="false" outlineLevel="0" collapsed="false">
      <c r="A117" s="5" t="s">
        <v>315</v>
      </c>
      <c r="B117" s="10" t="n">
        <v>45992.6354166667</v>
      </c>
      <c r="C117" s="5" t="s">
        <v>172</v>
      </c>
      <c r="D117" s="5" t="s">
        <v>202</v>
      </c>
      <c r="E117" s="5" t="s">
        <v>203</v>
      </c>
      <c r="F117" s="5" t="s">
        <v>204</v>
      </c>
      <c r="G117" s="5" t="s">
        <v>205</v>
      </c>
      <c r="H117" s="5" t="s">
        <v>131</v>
      </c>
      <c r="I117" s="5" t="s">
        <v>176</v>
      </c>
      <c r="J117" s="5" t="s">
        <v>133</v>
      </c>
      <c r="K117" s="5" t="s">
        <v>186</v>
      </c>
      <c r="L117" s="6" t="n">
        <v>0</v>
      </c>
      <c r="M117" s="6" t="n">
        <v>0</v>
      </c>
      <c r="N117" s="6" t="n">
        <v>46.82</v>
      </c>
      <c r="O117" s="6" t="n">
        <v>0</v>
      </c>
      <c r="P117" s="6" t="n">
        <v>40.68</v>
      </c>
      <c r="Q117" s="6" t="n">
        <v>6.14</v>
      </c>
      <c r="R117" s="6" t="n">
        <f aca="false">P117+Q117</f>
        <v>46.82</v>
      </c>
      <c r="S117" s="6" t="n">
        <v>22.9</v>
      </c>
      <c r="T117" s="6" t="n">
        <v>17.6</v>
      </c>
      <c r="U117" s="6" t="n">
        <v>23.08</v>
      </c>
      <c r="V117" s="7" t="n">
        <f aca="false">IF(P117-(O117/1.21)=0,0,U117/(P117-(O117/1.21)))</f>
        <v>0.567354965585054</v>
      </c>
      <c r="W117" s="5" t="s">
        <v>169</v>
      </c>
      <c r="X117" s="5" t="s">
        <v>146</v>
      </c>
      <c r="Y117" s="5" t="s">
        <v>136</v>
      </c>
      <c r="Z117" s="11" t="n">
        <v>2</v>
      </c>
    </row>
    <row r="118" customFormat="false" ht="15" hidden="false" customHeight="false" outlineLevel="0" collapsed="false">
      <c r="A118" s="2" t="s">
        <v>316</v>
      </c>
      <c r="B118" s="8" t="n">
        <v>45993.5104166667</v>
      </c>
      <c r="C118" s="2" t="s">
        <v>126</v>
      </c>
      <c r="D118" s="2" t="s">
        <v>188</v>
      </c>
      <c r="E118" s="2" t="s">
        <v>189</v>
      </c>
      <c r="F118" s="2" t="s">
        <v>190</v>
      </c>
      <c r="G118" s="2" t="s">
        <v>191</v>
      </c>
      <c r="H118" s="2" t="s">
        <v>131</v>
      </c>
      <c r="I118" s="2" t="s">
        <v>132</v>
      </c>
      <c r="J118" s="2" t="s">
        <v>133</v>
      </c>
      <c r="K118" s="2" t="s">
        <v>144</v>
      </c>
      <c r="L118" s="3" t="n">
        <v>179.65</v>
      </c>
      <c r="M118" s="3" t="n">
        <v>0</v>
      </c>
      <c r="N118" s="3" t="n">
        <v>898.23</v>
      </c>
      <c r="O118" s="3" t="n">
        <v>9.95</v>
      </c>
      <c r="P118" s="3" t="n">
        <v>603.56</v>
      </c>
      <c r="Q118" s="3" t="n">
        <v>124.97</v>
      </c>
      <c r="R118" s="3" t="n">
        <f aca="false">P118+Q118</f>
        <v>728.53</v>
      </c>
      <c r="S118" s="3" t="n">
        <v>0</v>
      </c>
      <c r="T118" s="3" t="n">
        <v>424.1</v>
      </c>
      <c r="U118" s="3" t="n">
        <v>171.24</v>
      </c>
      <c r="V118" s="4" t="n">
        <f aca="false">IF(P118-(O118/1.21)=0,0,U118/(P118-(O118/1.21)))</f>
        <v>0.287635474381057</v>
      </c>
      <c r="W118" s="2" t="s">
        <v>134</v>
      </c>
      <c r="X118" s="2" t="s">
        <v>146</v>
      </c>
      <c r="Y118" s="2" t="s">
        <v>136</v>
      </c>
      <c r="Z118" s="9" t="n">
        <v>4</v>
      </c>
    </row>
    <row r="119" customFormat="false" ht="15" hidden="false" customHeight="false" outlineLevel="0" collapsed="false">
      <c r="A119" s="5" t="s">
        <v>317</v>
      </c>
      <c r="B119" s="10" t="n">
        <v>45993.7916666667</v>
      </c>
      <c r="C119" s="5" t="s">
        <v>148</v>
      </c>
      <c r="D119" s="5" t="s">
        <v>223</v>
      </c>
      <c r="E119" s="5" t="s">
        <v>224</v>
      </c>
      <c r="F119" s="5" t="s">
        <v>225</v>
      </c>
      <c r="G119" s="5" t="s">
        <v>226</v>
      </c>
      <c r="H119" s="5" t="s">
        <v>131</v>
      </c>
      <c r="I119" s="5" t="s">
        <v>132</v>
      </c>
      <c r="J119" s="5" t="s">
        <v>133</v>
      </c>
      <c r="K119" s="5" t="s">
        <v>168</v>
      </c>
      <c r="L119" s="6" t="n">
        <v>15.23</v>
      </c>
      <c r="M119" s="6" t="n">
        <v>1.2</v>
      </c>
      <c r="N119" s="6" t="n">
        <v>101.55</v>
      </c>
      <c r="O119" s="6" t="n">
        <v>4.95</v>
      </c>
      <c r="P119" s="6" t="n">
        <v>81.23</v>
      </c>
      <c r="Q119" s="6" t="n">
        <v>10.04</v>
      </c>
      <c r="R119" s="6" t="n">
        <f aca="false">P119+Q119</f>
        <v>91.27</v>
      </c>
      <c r="S119" s="6" t="n">
        <v>0</v>
      </c>
      <c r="T119" s="6" t="n">
        <v>44.3</v>
      </c>
      <c r="U119" s="6" t="n">
        <v>32.84</v>
      </c>
      <c r="V119" s="7" t="n">
        <f aca="false">IF(P119-(O119/1.21)=0,0,U119/(P119-(O119/1.21)))</f>
        <v>0.425724488232591</v>
      </c>
      <c r="W119" s="5" t="s">
        <v>169</v>
      </c>
      <c r="X119" s="5" t="s">
        <v>170</v>
      </c>
      <c r="Y119" s="5" t="s">
        <v>177</v>
      </c>
      <c r="Z119" s="11" t="n">
        <v>3</v>
      </c>
    </row>
    <row r="120" customFormat="false" ht="15" hidden="false" customHeight="false" outlineLevel="0" collapsed="false">
      <c r="A120" s="2" t="s">
        <v>318</v>
      </c>
      <c r="B120" s="8" t="n">
        <v>45993.8645833333</v>
      </c>
      <c r="C120" s="2" t="s">
        <v>126</v>
      </c>
      <c r="D120" s="2" t="s">
        <v>158</v>
      </c>
      <c r="E120" s="2" t="s">
        <v>159</v>
      </c>
      <c r="F120" s="2" t="s">
        <v>160</v>
      </c>
      <c r="G120" s="2" t="s">
        <v>161</v>
      </c>
      <c r="H120" s="2" t="s">
        <v>131</v>
      </c>
      <c r="I120" s="2" t="s">
        <v>132</v>
      </c>
      <c r="J120" s="2" t="s">
        <v>133</v>
      </c>
      <c r="K120" s="2" t="s">
        <v>186</v>
      </c>
      <c r="L120" s="3" t="n">
        <v>0</v>
      </c>
      <c r="M120" s="3" t="n">
        <v>6.74</v>
      </c>
      <c r="N120" s="3" t="n">
        <v>38.16</v>
      </c>
      <c r="O120" s="3" t="n">
        <v>0</v>
      </c>
      <c r="P120" s="3" t="n">
        <v>31.54</v>
      </c>
      <c r="Q120" s="3" t="n">
        <v>6.62</v>
      </c>
      <c r="R120" s="3" t="n">
        <f aca="false">P120+Q120</f>
        <v>38.16</v>
      </c>
      <c r="S120" s="3" t="n">
        <v>0</v>
      </c>
      <c r="T120" s="3" t="n">
        <v>19</v>
      </c>
      <c r="U120" s="3" t="n">
        <v>12.54</v>
      </c>
      <c r="V120" s="4" t="n">
        <f aca="false">IF(P120-(O120/1.21)=0,0,U120/(P120-(O120/1.21)))</f>
        <v>0.397590361445783</v>
      </c>
      <c r="W120" s="2" t="s">
        <v>169</v>
      </c>
      <c r="X120" s="2" t="s">
        <v>170</v>
      </c>
      <c r="Y120" s="2" t="s">
        <v>177</v>
      </c>
      <c r="Z120" s="9" t="n">
        <v>1</v>
      </c>
    </row>
    <row r="121" customFormat="false" ht="15" hidden="false" customHeight="false" outlineLevel="0" collapsed="false">
      <c r="A121" s="5" t="s">
        <v>319</v>
      </c>
      <c r="B121" s="10" t="n">
        <v>45995.3854166667</v>
      </c>
      <c r="C121" s="5" t="s">
        <v>138</v>
      </c>
      <c r="D121" s="5" t="s">
        <v>258</v>
      </c>
      <c r="E121" s="5" t="s">
        <v>259</v>
      </c>
      <c r="F121" s="5" t="s">
        <v>260</v>
      </c>
      <c r="G121" s="5" t="s">
        <v>261</v>
      </c>
      <c r="H121" s="5" t="s">
        <v>131</v>
      </c>
      <c r="I121" s="5" t="s">
        <v>176</v>
      </c>
      <c r="J121" s="5" t="s">
        <v>133</v>
      </c>
      <c r="K121" s="5" t="s">
        <v>144</v>
      </c>
      <c r="L121" s="6" t="n">
        <v>10.78</v>
      </c>
      <c r="M121" s="6" t="n">
        <v>5.99</v>
      </c>
      <c r="N121" s="6" t="n">
        <v>53.91</v>
      </c>
      <c r="O121" s="6" t="n">
        <v>9.95</v>
      </c>
      <c r="P121" s="6" t="n">
        <v>43.86</v>
      </c>
      <c r="Q121" s="6" t="n">
        <v>9.22</v>
      </c>
      <c r="R121" s="6" t="n">
        <f aca="false">P121+Q121</f>
        <v>53.08</v>
      </c>
      <c r="S121" s="6" t="n">
        <v>43.13</v>
      </c>
      <c r="T121" s="6" t="n">
        <v>26</v>
      </c>
      <c r="U121" s="6" t="n">
        <v>9.64</v>
      </c>
      <c r="V121" s="7" t="n">
        <f aca="false">IF(P121-(O121/1.21)=0,0,U121/(P121-(O121/1.21)))</f>
        <v>0.270506440077364</v>
      </c>
      <c r="W121" s="5" t="s">
        <v>162</v>
      </c>
      <c r="X121" s="5" t="s">
        <v>146</v>
      </c>
      <c r="Y121" s="5" t="s">
        <v>156</v>
      </c>
      <c r="Z121" s="11" t="n">
        <v>1</v>
      </c>
    </row>
    <row r="122" customFormat="false" ht="15" hidden="false" customHeight="false" outlineLevel="0" collapsed="false">
      <c r="A122" s="2" t="s">
        <v>320</v>
      </c>
      <c r="B122" s="8" t="n">
        <v>45996.6666666667</v>
      </c>
      <c r="C122" s="2" t="s">
        <v>172</v>
      </c>
      <c r="D122" s="2" t="s">
        <v>179</v>
      </c>
      <c r="E122" s="2" t="s">
        <v>180</v>
      </c>
      <c r="F122" s="2" t="s">
        <v>181</v>
      </c>
      <c r="G122" s="2" t="s">
        <v>182</v>
      </c>
      <c r="H122" s="2" t="s">
        <v>131</v>
      </c>
      <c r="I122" s="2" t="s">
        <v>132</v>
      </c>
      <c r="J122" s="2" t="s">
        <v>133</v>
      </c>
      <c r="K122" s="2" t="s">
        <v>144</v>
      </c>
      <c r="L122" s="3" t="n">
        <v>66.26</v>
      </c>
      <c r="M122" s="3" t="n">
        <v>2.49</v>
      </c>
      <c r="N122" s="3" t="n">
        <v>331.31</v>
      </c>
      <c r="O122" s="3" t="n">
        <v>4.95</v>
      </c>
      <c r="P122" s="3" t="n">
        <v>223.14</v>
      </c>
      <c r="Q122" s="3" t="n">
        <v>46.86</v>
      </c>
      <c r="R122" s="3" t="n">
        <f aca="false">P122+Q122</f>
        <v>270</v>
      </c>
      <c r="S122" s="3" t="n">
        <v>0</v>
      </c>
      <c r="T122" s="3" t="n">
        <v>156.8</v>
      </c>
      <c r="U122" s="3" t="n">
        <v>62.25</v>
      </c>
      <c r="V122" s="4" t="n">
        <f aca="false">IF(P122-(O122/1.21)=0,0,U122/(P122-(O122/1.21)))</f>
        <v>0.284182873079509</v>
      </c>
      <c r="W122" s="2" t="s">
        <v>153</v>
      </c>
      <c r="X122" s="2" t="s">
        <v>170</v>
      </c>
      <c r="Y122" s="2" t="s">
        <v>177</v>
      </c>
      <c r="Z122" s="9" t="n">
        <v>3</v>
      </c>
    </row>
    <row r="123" customFormat="false" ht="15" hidden="false" customHeight="false" outlineLevel="0" collapsed="false">
      <c r="A123" s="5" t="s">
        <v>321</v>
      </c>
      <c r="B123" s="10" t="n">
        <v>45996.7916666667</v>
      </c>
      <c r="C123" s="5" t="s">
        <v>138</v>
      </c>
      <c r="D123" s="5" t="s">
        <v>139</v>
      </c>
      <c r="E123" s="5" t="s">
        <v>140</v>
      </c>
      <c r="F123" s="5" t="s">
        <v>141</v>
      </c>
      <c r="G123" s="5" t="s">
        <v>142</v>
      </c>
      <c r="H123" s="5" t="s">
        <v>143</v>
      </c>
      <c r="I123" s="5" t="s">
        <v>132</v>
      </c>
      <c r="J123" s="5" t="s">
        <v>133</v>
      </c>
      <c r="K123" s="5" t="s">
        <v>144</v>
      </c>
      <c r="L123" s="6" t="n">
        <v>8.13</v>
      </c>
      <c r="M123" s="6" t="n">
        <v>2.14</v>
      </c>
      <c r="N123" s="6" t="n">
        <v>40.66</v>
      </c>
      <c r="O123" s="6" t="n">
        <v>4.95</v>
      </c>
      <c r="P123" s="6" t="n">
        <v>30.98</v>
      </c>
      <c r="Q123" s="6" t="n">
        <v>6.5</v>
      </c>
      <c r="R123" s="6" t="n">
        <f aca="false">P123+Q123</f>
        <v>37.48</v>
      </c>
      <c r="S123" s="6" t="n">
        <v>0</v>
      </c>
      <c r="T123" s="6" t="n">
        <v>15.9</v>
      </c>
      <c r="U123" s="6" t="n">
        <v>10.99</v>
      </c>
      <c r="V123" s="7" t="n">
        <f aca="false">IF(P123-(O123/1.21)=0,0,U123/(P123-(O123/1.21)))</f>
        <v>0.408715937521131</v>
      </c>
      <c r="W123" s="5" t="s">
        <v>169</v>
      </c>
      <c r="X123" s="5" t="s">
        <v>170</v>
      </c>
      <c r="Y123" s="5" t="s">
        <v>154</v>
      </c>
      <c r="Z123" s="11" t="n">
        <v>2</v>
      </c>
    </row>
    <row r="124" customFormat="false" ht="15" hidden="false" customHeight="false" outlineLevel="0" collapsed="false">
      <c r="A124" s="2" t="s">
        <v>322</v>
      </c>
      <c r="B124" s="8" t="n">
        <v>45997.7083333333</v>
      </c>
      <c r="C124" s="2" t="s">
        <v>126</v>
      </c>
      <c r="D124" s="2" t="s">
        <v>139</v>
      </c>
      <c r="E124" s="2" t="s">
        <v>140</v>
      </c>
      <c r="F124" s="2" t="s">
        <v>141</v>
      </c>
      <c r="G124" s="2" t="s">
        <v>142</v>
      </c>
      <c r="H124" s="2" t="s">
        <v>143</v>
      </c>
      <c r="I124" s="2" t="s">
        <v>176</v>
      </c>
      <c r="J124" s="2" t="s">
        <v>133</v>
      </c>
      <c r="K124" s="2" t="s">
        <v>144</v>
      </c>
      <c r="L124" s="3" t="n">
        <v>80.59</v>
      </c>
      <c r="M124" s="3" t="n">
        <v>18.85</v>
      </c>
      <c r="N124" s="3" t="n">
        <v>402.97</v>
      </c>
      <c r="O124" s="3" t="n">
        <v>4.95</v>
      </c>
      <c r="P124" s="3" t="n">
        <v>271.77</v>
      </c>
      <c r="Q124" s="3" t="n">
        <v>55.56</v>
      </c>
      <c r="R124" s="3" t="n">
        <f aca="false">P124+Q124</f>
        <v>327.33</v>
      </c>
      <c r="S124" s="3" t="n">
        <v>271.32</v>
      </c>
      <c r="T124" s="3" t="n">
        <v>196</v>
      </c>
      <c r="U124" s="3" t="n">
        <v>71.68</v>
      </c>
      <c r="V124" s="4" t="n">
        <f aca="false">IF(P124-(O124/1.21)=0,0,U124/(P124-(O124/1.21)))</f>
        <v>0.267783336220101</v>
      </c>
      <c r="W124" s="2" t="s">
        <v>162</v>
      </c>
      <c r="X124" s="2" t="s">
        <v>170</v>
      </c>
      <c r="Y124" s="2" t="s">
        <v>156</v>
      </c>
      <c r="Z124" s="9" t="n">
        <v>3</v>
      </c>
    </row>
    <row r="125" customFormat="false" ht="15" hidden="false" customHeight="false" outlineLevel="0" collapsed="false">
      <c r="A125" s="5" t="s">
        <v>323</v>
      </c>
      <c r="B125" s="10" t="n">
        <v>45997.75</v>
      </c>
      <c r="C125" s="5" t="s">
        <v>126</v>
      </c>
      <c r="D125" s="5" t="s">
        <v>188</v>
      </c>
      <c r="E125" s="5" t="s">
        <v>189</v>
      </c>
      <c r="F125" s="5" t="s">
        <v>190</v>
      </c>
      <c r="G125" s="5" t="s">
        <v>191</v>
      </c>
      <c r="H125" s="5" t="s">
        <v>131</v>
      </c>
      <c r="I125" s="5" t="s">
        <v>132</v>
      </c>
      <c r="J125" s="5" t="s">
        <v>133</v>
      </c>
      <c r="K125" s="5" t="s">
        <v>144</v>
      </c>
      <c r="L125" s="6" t="n">
        <v>7.63</v>
      </c>
      <c r="M125" s="6" t="n">
        <v>6.74</v>
      </c>
      <c r="N125" s="6" t="n">
        <v>38.16</v>
      </c>
      <c r="O125" s="6" t="n">
        <v>9.95</v>
      </c>
      <c r="P125" s="6" t="n">
        <v>33.45</v>
      </c>
      <c r="Q125" s="6" t="n">
        <v>7.03</v>
      </c>
      <c r="R125" s="6" t="n">
        <f aca="false">P125+Q125</f>
        <v>40.48</v>
      </c>
      <c r="S125" s="6" t="n">
        <v>0</v>
      </c>
      <c r="T125" s="6" t="n">
        <v>19</v>
      </c>
      <c r="U125" s="6" t="n">
        <v>6.23</v>
      </c>
      <c r="V125" s="7" t="n">
        <f aca="false">IF(P125-(O125/1.21)=0,0,U125/(P125-(O125/1.21)))</f>
        <v>0.246959000147423</v>
      </c>
      <c r="W125" s="5" t="s">
        <v>169</v>
      </c>
      <c r="X125" s="5" t="s">
        <v>146</v>
      </c>
      <c r="Y125" s="5" t="s">
        <v>154</v>
      </c>
      <c r="Z125" s="11" t="n">
        <v>1</v>
      </c>
    </row>
    <row r="126" customFormat="false" ht="15" hidden="false" customHeight="false" outlineLevel="0" collapsed="false">
      <c r="A126" s="2" t="s">
        <v>324</v>
      </c>
      <c r="B126" s="8" t="n">
        <v>45998.4895833333</v>
      </c>
      <c r="C126" s="2" t="s">
        <v>148</v>
      </c>
      <c r="D126" s="2" t="s">
        <v>217</v>
      </c>
      <c r="E126" s="2" t="s">
        <v>218</v>
      </c>
      <c r="F126" s="2" t="s">
        <v>219</v>
      </c>
      <c r="G126" s="2" t="s">
        <v>220</v>
      </c>
      <c r="H126" s="2" t="s">
        <v>131</v>
      </c>
      <c r="I126" s="2" t="s">
        <v>132</v>
      </c>
      <c r="J126" s="2" t="s">
        <v>133</v>
      </c>
      <c r="K126" s="2" t="s">
        <v>144</v>
      </c>
      <c r="L126" s="3" t="n">
        <v>79.88</v>
      </c>
      <c r="M126" s="3" t="n">
        <v>0</v>
      </c>
      <c r="N126" s="3" t="n">
        <v>399.4</v>
      </c>
      <c r="O126" s="3" t="n">
        <v>9.95</v>
      </c>
      <c r="P126" s="3" t="n">
        <v>272.28</v>
      </c>
      <c r="Q126" s="3" t="n">
        <v>57.19</v>
      </c>
      <c r="R126" s="3" t="n">
        <f aca="false">P126+Q126</f>
        <v>329.47</v>
      </c>
      <c r="S126" s="3" t="n">
        <v>0</v>
      </c>
      <c r="T126" s="3" t="n">
        <v>207.8</v>
      </c>
      <c r="U126" s="3" t="n">
        <v>56.26</v>
      </c>
      <c r="V126" s="4" t="n">
        <f aca="false">IF(P126-(O126/1.21)=0,0,U126/(P126-(O126/1.21)))</f>
        <v>0.21306017236458</v>
      </c>
      <c r="W126" s="2" t="s">
        <v>153</v>
      </c>
      <c r="X126" s="2" t="s">
        <v>146</v>
      </c>
      <c r="Y126" s="2" t="s">
        <v>177</v>
      </c>
      <c r="Z126" s="9" t="n">
        <v>2</v>
      </c>
    </row>
    <row r="127" customFormat="false" ht="15" hidden="false" customHeight="false" outlineLevel="0" collapsed="false">
      <c r="A127" s="5" t="s">
        <v>325</v>
      </c>
      <c r="B127" s="10" t="n">
        <v>45999.375</v>
      </c>
      <c r="C127" s="5" t="s">
        <v>193</v>
      </c>
      <c r="D127" s="5" t="s">
        <v>202</v>
      </c>
      <c r="E127" s="5" t="s">
        <v>203</v>
      </c>
      <c r="F127" s="5" t="s">
        <v>204</v>
      </c>
      <c r="G127" s="5" t="s">
        <v>205</v>
      </c>
      <c r="H127" s="5" t="s">
        <v>131</v>
      </c>
      <c r="I127" s="5" t="s">
        <v>132</v>
      </c>
      <c r="J127" s="5" t="s">
        <v>133</v>
      </c>
      <c r="K127" s="5" t="s">
        <v>144</v>
      </c>
      <c r="L127" s="6" t="n">
        <v>188.3</v>
      </c>
      <c r="M127" s="6" t="n">
        <v>2.29</v>
      </c>
      <c r="N127" s="6" t="n">
        <v>941.51</v>
      </c>
      <c r="O127" s="6" t="n">
        <v>4.95</v>
      </c>
      <c r="P127" s="6" t="n">
        <v>626.58</v>
      </c>
      <c r="Q127" s="6" t="n">
        <v>131.58</v>
      </c>
      <c r="R127" s="6" t="n">
        <f aca="false">P127+Q127</f>
        <v>758.16</v>
      </c>
      <c r="S127" s="6" t="n">
        <v>0</v>
      </c>
      <c r="T127" s="6" t="n">
        <v>736</v>
      </c>
      <c r="U127" s="6" t="n">
        <v>-113.51</v>
      </c>
      <c r="V127" s="7" t="n">
        <f aca="false">IF(P127-(O127/1.21)=0,0,U127/(P127-(O127/1.21)))</f>
        <v>-0.182348577120008</v>
      </c>
      <c r="W127" s="5" t="s">
        <v>153</v>
      </c>
      <c r="X127" s="5" t="s">
        <v>170</v>
      </c>
      <c r="Y127" s="5" t="s">
        <v>156</v>
      </c>
      <c r="Z127" s="11" t="n">
        <v>2</v>
      </c>
    </row>
    <row r="128" customFormat="false" ht="15" hidden="false" customHeight="false" outlineLevel="0" collapsed="false">
      <c r="A128" s="2" t="s">
        <v>326</v>
      </c>
      <c r="B128" s="8" t="n">
        <v>46000.7395833333</v>
      </c>
      <c r="C128" s="2" t="s">
        <v>148</v>
      </c>
      <c r="D128" s="2" t="s">
        <v>158</v>
      </c>
      <c r="E128" s="2" t="s">
        <v>159</v>
      </c>
      <c r="F128" s="2" t="s">
        <v>160</v>
      </c>
      <c r="G128" s="2" t="s">
        <v>161</v>
      </c>
      <c r="H128" s="2" t="s">
        <v>131</v>
      </c>
      <c r="I128" s="2" t="s">
        <v>132</v>
      </c>
      <c r="J128" s="2" t="s">
        <v>133</v>
      </c>
      <c r="K128" s="2" t="s">
        <v>144</v>
      </c>
      <c r="L128" s="3" t="n">
        <v>1.54</v>
      </c>
      <c r="M128" s="3" t="n">
        <v>0.67</v>
      </c>
      <c r="N128" s="3" t="n">
        <v>7.72</v>
      </c>
      <c r="O128" s="3" t="n">
        <v>4.95</v>
      </c>
      <c r="P128" s="3" t="n">
        <v>9.71</v>
      </c>
      <c r="Q128" s="3" t="n">
        <v>1.42</v>
      </c>
      <c r="R128" s="3" t="n">
        <f aca="false">P128+Q128</f>
        <v>11.13</v>
      </c>
      <c r="S128" s="3" t="n">
        <v>0</v>
      </c>
      <c r="T128" s="3" t="n">
        <v>4.6</v>
      </c>
      <c r="U128" s="3" t="n">
        <v>1.02</v>
      </c>
      <c r="V128" s="4" t="n">
        <f aca="false">IF(P128-(O128/1.21)=0,0,U128/(P128-(O128/1.21)))</f>
        <v>0.181524025238635</v>
      </c>
      <c r="W128" s="2" t="s">
        <v>153</v>
      </c>
      <c r="X128" s="2" t="s">
        <v>170</v>
      </c>
      <c r="Y128" s="2" t="s">
        <v>154</v>
      </c>
      <c r="Z128" s="9" t="n">
        <v>2</v>
      </c>
    </row>
    <row r="129" customFormat="false" ht="15" hidden="false" customHeight="false" outlineLevel="0" collapsed="false">
      <c r="A129" s="5" t="s">
        <v>327</v>
      </c>
      <c r="B129" s="10" t="n">
        <v>46001.4166666667</v>
      </c>
      <c r="C129" s="5" t="s">
        <v>126</v>
      </c>
      <c r="D129" s="5" t="s">
        <v>223</v>
      </c>
      <c r="E129" s="5" t="s">
        <v>224</v>
      </c>
      <c r="F129" s="5" t="s">
        <v>225</v>
      </c>
      <c r="G129" s="5" t="s">
        <v>226</v>
      </c>
      <c r="H129" s="5" t="s">
        <v>131</v>
      </c>
      <c r="I129" s="5" t="s">
        <v>176</v>
      </c>
      <c r="J129" s="5" t="s">
        <v>133</v>
      </c>
      <c r="K129" s="5" t="s">
        <v>168</v>
      </c>
      <c r="L129" s="6" t="n">
        <v>5.68</v>
      </c>
      <c r="M129" s="6" t="n">
        <v>0</v>
      </c>
      <c r="N129" s="6" t="n">
        <v>37.85</v>
      </c>
      <c r="O129" s="6" t="n">
        <v>0</v>
      </c>
      <c r="P129" s="6" t="n">
        <v>27.63</v>
      </c>
      <c r="Q129" s="6" t="n">
        <v>4.54</v>
      </c>
      <c r="R129" s="6" t="n">
        <f aca="false">P129+Q129</f>
        <v>32.17</v>
      </c>
      <c r="S129" s="6" t="n">
        <v>12.71</v>
      </c>
      <c r="T129" s="6" t="n">
        <v>14</v>
      </c>
      <c r="U129" s="6" t="n">
        <v>13.63</v>
      </c>
      <c r="V129" s="7" t="n">
        <f aca="false">IF(P129-(O129/1.21)=0,0,U129/(P129-(O129/1.21)))</f>
        <v>0.493304379297865</v>
      </c>
      <c r="W129" s="5" t="s">
        <v>145</v>
      </c>
      <c r="X129" s="5" t="s">
        <v>135</v>
      </c>
      <c r="Y129" s="5" t="s">
        <v>156</v>
      </c>
      <c r="Z129" s="11" t="n">
        <v>2</v>
      </c>
    </row>
    <row r="130" customFormat="false" ht="15" hidden="false" customHeight="false" outlineLevel="0" collapsed="false">
      <c r="A130" s="2" t="s">
        <v>328</v>
      </c>
      <c r="B130" s="8" t="n">
        <v>46001.90625</v>
      </c>
      <c r="C130" s="2" t="s">
        <v>193</v>
      </c>
      <c r="D130" s="2" t="s">
        <v>188</v>
      </c>
      <c r="E130" s="2" t="s">
        <v>189</v>
      </c>
      <c r="F130" s="2" t="s">
        <v>190</v>
      </c>
      <c r="G130" s="2" t="s">
        <v>191</v>
      </c>
      <c r="H130" s="2" t="s">
        <v>131</v>
      </c>
      <c r="I130" s="2" t="s">
        <v>132</v>
      </c>
      <c r="J130" s="2" t="s">
        <v>133</v>
      </c>
      <c r="K130" s="2" t="s">
        <v>144</v>
      </c>
      <c r="L130" s="3" t="n">
        <v>146.23</v>
      </c>
      <c r="M130" s="3" t="n">
        <v>8.24</v>
      </c>
      <c r="N130" s="3" t="n">
        <v>731.14</v>
      </c>
      <c r="O130" s="3" t="n">
        <v>0</v>
      </c>
      <c r="P130" s="3" t="n">
        <v>485.76</v>
      </c>
      <c r="Q130" s="3" t="n">
        <v>99.15</v>
      </c>
      <c r="R130" s="3" t="n">
        <f aca="false">P130+Q130</f>
        <v>584.91</v>
      </c>
      <c r="S130" s="3" t="n">
        <v>0</v>
      </c>
      <c r="T130" s="3" t="n">
        <v>330.4</v>
      </c>
      <c r="U130" s="3" t="n">
        <v>155.36</v>
      </c>
      <c r="V130" s="4" t="n">
        <f aca="false">IF(P130-(O130/1.21)=0,0,U130/(P130-(O130/1.21)))</f>
        <v>0.319828722002635</v>
      </c>
      <c r="W130" s="2" t="s">
        <v>153</v>
      </c>
      <c r="X130" s="2" t="s">
        <v>135</v>
      </c>
      <c r="Y130" s="2" t="s">
        <v>156</v>
      </c>
      <c r="Z130" s="9" t="n">
        <v>4</v>
      </c>
    </row>
    <row r="131" customFormat="false" ht="15" hidden="false" customHeight="false" outlineLevel="0" collapsed="false">
      <c r="A131" s="5" t="s">
        <v>329</v>
      </c>
      <c r="B131" s="10" t="n">
        <v>46002.75</v>
      </c>
      <c r="C131" s="5" t="s">
        <v>138</v>
      </c>
      <c r="D131" s="5" t="s">
        <v>258</v>
      </c>
      <c r="E131" s="5" t="s">
        <v>259</v>
      </c>
      <c r="F131" s="5" t="s">
        <v>260</v>
      </c>
      <c r="G131" s="5" t="s">
        <v>261</v>
      </c>
      <c r="H131" s="5" t="s">
        <v>131</v>
      </c>
      <c r="I131" s="5" t="s">
        <v>132</v>
      </c>
      <c r="J131" s="5" t="s">
        <v>133</v>
      </c>
      <c r="K131" s="5" t="s">
        <v>186</v>
      </c>
      <c r="L131" s="6" t="n">
        <v>0</v>
      </c>
      <c r="M131" s="6" t="n">
        <v>0</v>
      </c>
      <c r="N131" s="6" t="n">
        <v>59.9</v>
      </c>
      <c r="O131" s="6" t="n">
        <v>0</v>
      </c>
      <c r="P131" s="6" t="n">
        <v>49.5</v>
      </c>
      <c r="Q131" s="6" t="n">
        <v>10.4</v>
      </c>
      <c r="R131" s="6" t="n">
        <f aca="false">P131+Q131</f>
        <v>59.9</v>
      </c>
      <c r="S131" s="6" t="n">
        <v>0</v>
      </c>
      <c r="T131" s="6" t="n">
        <v>24</v>
      </c>
      <c r="U131" s="6" t="n">
        <v>25.5</v>
      </c>
      <c r="V131" s="7" t="n">
        <f aca="false">IF(P131-(O131/1.21)=0,0,U131/(P131-(O131/1.21)))</f>
        <v>0.515151515151515</v>
      </c>
      <c r="W131" s="5" t="s">
        <v>169</v>
      </c>
      <c r="X131" s="5" t="s">
        <v>170</v>
      </c>
      <c r="Y131" s="5" t="s">
        <v>154</v>
      </c>
      <c r="Z131" s="11" t="n">
        <v>1</v>
      </c>
    </row>
    <row r="132" customFormat="false" ht="15" hidden="false" customHeight="false" outlineLevel="0" collapsed="false">
      <c r="A132" s="2" t="s">
        <v>330</v>
      </c>
      <c r="B132" s="8" t="n">
        <v>46002.8125</v>
      </c>
      <c r="C132" s="2" t="s">
        <v>126</v>
      </c>
      <c r="D132" s="2" t="s">
        <v>127</v>
      </c>
      <c r="E132" s="2" t="s">
        <v>128</v>
      </c>
      <c r="F132" s="2" t="s">
        <v>129</v>
      </c>
      <c r="G132" s="2" t="s">
        <v>130</v>
      </c>
      <c r="H132" s="2" t="s">
        <v>131</v>
      </c>
      <c r="I132" s="2" t="s">
        <v>132</v>
      </c>
      <c r="J132" s="2" t="s">
        <v>133</v>
      </c>
      <c r="K132" s="2" t="s">
        <v>144</v>
      </c>
      <c r="L132" s="3" t="n">
        <v>15.76</v>
      </c>
      <c r="M132" s="3" t="n">
        <v>0</v>
      </c>
      <c r="N132" s="3" t="n">
        <v>78.8</v>
      </c>
      <c r="O132" s="3" t="n">
        <v>9.95</v>
      </c>
      <c r="P132" s="3" t="n">
        <v>60.32</v>
      </c>
      <c r="Q132" s="3" t="n">
        <v>12.67</v>
      </c>
      <c r="R132" s="3" t="n">
        <f aca="false">P132+Q132</f>
        <v>72.99</v>
      </c>
      <c r="S132" s="3" t="n">
        <v>0</v>
      </c>
      <c r="T132" s="3" t="n">
        <v>30.5</v>
      </c>
      <c r="U132" s="3" t="n">
        <v>21.6</v>
      </c>
      <c r="V132" s="4" t="n">
        <f aca="false">IF(P132-(O132/1.21)=0,0,U132/(P132-(O132/1.21)))</f>
        <v>0.414612324151453</v>
      </c>
      <c r="W132" s="2" t="s">
        <v>134</v>
      </c>
      <c r="X132" s="2" t="s">
        <v>146</v>
      </c>
      <c r="Y132" s="2" t="s">
        <v>136</v>
      </c>
      <c r="Z132" s="9" t="n">
        <v>2</v>
      </c>
    </row>
    <row r="133" customFormat="false" ht="15" hidden="false" customHeight="false" outlineLevel="0" collapsed="false">
      <c r="A133" s="5" t="s">
        <v>331</v>
      </c>
      <c r="B133" s="10" t="n">
        <v>46002.90625</v>
      </c>
      <c r="C133" s="5" t="s">
        <v>126</v>
      </c>
      <c r="D133" s="5" t="s">
        <v>179</v>
      </c>
      <c r="E133" s="5" t="s">
        <v>180</v>
      </c>
      <c r="F133" s="5" t="s">
        <v>181</v>
      </c>
      <c r="G133" s="5" t="s">
        <v>182</v>
      </c>
      <c r="H133" s="5" t="s">
        <v>131</v>
      </c>
      <c r="I133" s="5" t="s">
        <v>132</v>
      </c>
      <c r="J133" s="5" t="s">
        <v>133</v>
      </c>
      <c r="K133" s="5" t="s">
        <v>186</v>
      </c>
      <c r="L133" s="6" t="n">
        <v>0</v>
      </c>
      <c r="M133" s="6" t="n">
        <v>2.24</v>
      </c>
      <c r="N133" s="6" t="n">
        <v>46.53</v>
      </c>
      <c r="O133" s="6" t="n">
        <v>0</v>
      </c>
      <c r="P133" s="6" t="n">
        <v>39.01</v>
      </c>
      <c r="Q133" s="6" t="n">
        <v>7.52</v>
      </c>
      <c r="R133" s="6" t="n">
        <f aca="false">P133+Q133</f>
        <v>46.53</v>
      </c>
      <c r="S133" s="6" t="n">
        <v>0</v>
      </c>
      <c r="T133" s="6" t="n">
        <v>19.4</v>
      </c>
      <c r="U133" s="6" t="n">
        <v>19.61</v>
      </c>
      <c r="V133" s="7" t="n">
        <f aca="false">IF(P133-(O133/1.21)=0,0,U133/(P133-(O133/1.21)))</f>
        <v>0.502691617533966</v>
      </c>
      <c r="W133" s="5" t="s">
        <v>169</v>
      </c>
      <c r="X133" s="5" t="s">
        <v>170</v>
      </c>
      <c r="Y133" s="5" t="s">
        <v>136</v>
      </c>
      <c r="Z133" s="11" t="n">
        <v>2</v>
      </c>
    </row>
    <row r="134" customFormat="false" ht="15" hidden="false" customHeight="false" outlineLevel="0" collapsed="false">
      <c r="A134" s="2" t="s">
        <v>332</v>
      </c>
      <c r="B134" s="8" t="n">
        <v>46003.65625</v>
      </c>
      <c r="C134" s="2" t="s">
        <v>126</v>
      </c>
      <c r="D134" s="2" t="s">
        <v>164</v>
      </c>
      <c r="E134" s="2" t="s">
        <v>165</v>
      </c>
      <c r="F134" s="2" t="s">
        <v>166</v>
      </c>
      <c r="G134" s="2" t="s">
        <v>167</v>
      </c>
      <c r="H134" s="2" t="s">
        <v>131</v>
      </c>
      <c r="I134" s="2" t="s">
        <v>132</v>
      </c>
      <c r="J134" s="2" t="s">
        <v>133</v>
      </c>
      <c r="K134" s="2"/>
      <c r="L134" s="3" t="n">
        <v>0</v>
      </c>
      <c r="M134" s="3" t="n">
        <v>0.94</v>
      </c>
      <c r="N134" s="3" t="n">
        <v>17.96</v>
      </c>
      <c r="O134" s="3" t="n">
        <v>4.95</v>
      </c>
      <c r="P134" s="3" t="n">
        <v>18.93</v>
      </c>
      <c r="Q134" s="3" t="n">
        <v>3.98</v>
      </c>
      <c r="R134" s="3" t="n">
        <f aca="false">P134+Q134</f>
        <v>22.91</v>
      </c>
      <c r="S134" s="3" t="n">
        <v>0</v>
      </c>
      <c r="T134" s="3" t="n">
        <v>6.5</v>
      </c>
      <c r="U134" s="3" t="n">
        <v>8.34</v>
      </c>
      <c r="V134" s="4" t="n">
        <f aca="false">IF(P134-(O134/1.21)=0,0,U134/(P134-(O134/1.21)))</f>
        <v>0.562029038779636</v>
      </c>
      <c r="W134" s="2" t="s">
        <v>162</v>
      </c>
      <c r="X134" s="2" t="s">
        <v>170</v>
      </c>
      <c r="Y134" s="2" t="s">
        <v>156</v>
      </c>
      <c r="Z134" s="9" t="n">
        <v>1</v>
      </c>
    </row>
    <row r="135" customFormat="false" ht="15" hidden="false" customHeight="false" outlineLevel="0" collapsed="false">
      <c r="A135" s="5" t="s">
        <v>333</v>
      </c>
      <c r="B135" s="10" t="n">
        <v>46003.6979166667</v>
      </c>
      <c r="C135" s="5" t="s">
        <v>172</v>
      </c>
      <c r="D135" s="5" t="s">
        <v>149</v>
      </c>
      <c r="E135" s="5" t="s">
        <v>150</v>
      </c>
      <c r="F135" s="5" t="s">
        <v>151</v>
      </c>
      <c r="G135" s="5" t="s">
        <v>152</v>
      </c>
      <c r="H135" s="5" t="s">
        <v>131</v>
      </c>
      <c r="I135" s="5" t="s">
        <v>132</v>
      </c>
      <c r="J135" s="5" t="s">
        <v>133</v>
      </c>
      <c r="K135" s="5" t="s">
        <v>144</v>
      </c>
      <c r="L135" s="6" t="n">
        <v>21.96</v>
      </c>
      <c r="M135" s="6" t="n">
        <v>0</v>
      </c>
      <c r="N135" s="6" t="n">
        <v>109.8</v>
      </c>
      <c r="O135" s="6" t="n">
        <v>4.95</v>
      </c>
      <c r="P135" s="6" t="n">
        <v>76.69</v>
      </c>
      <c r="Q135" s="6" t="n">
        <v>16.1</v>
      </c>
      <c r="R135" s="6" t="n">
        <f aca="false">P135+Q135</f>
        <v>92.79</v>
      </c>
      <c r="S135" s="6" t="n">
        <v>0</v>
      </c>
      <c r="T135" s="6" t="n">
        <v>44</v>
      </c>
      <c r="U135" s="6" t="n">
        <v>28.6</v>
      </c>
      <c r="V135" s="7" t="n">
        <f aca="false">IF(P135-(O135/1.21)=0,0,U135/(P135-(O135/1.21)))</f>
        <v>0.393944326876119</v>
      </c>
      <c r="W135" s="5" t="s">
        <v>169</v>
      </c>
      <c r="X135" s="5" t="s">
        <v>170</v>
      </c>
      <c r="Y135" s="5" t="s">
        <v>154</v>
      </c>
      <c r="Z135" s="11" t="n">
        <v>1</v>
      </c>
    </row>
    <row r="136" customFormat="false" ht="15" hidden="false" customHeight="false" outlineLevel="0" collapsed="false">
      <c r="A136" s="2" t="s">
        <v>334</v>
      </c>
      <c r="B136" s="8" t="n">
        <v>46004.53125</v>
      </c>
      <c r="C136" s="2" t="s">
        <v>148</v>
      </c>
      <c r="D136" s="2" t="s">
        <v>179</v>
      </c>
      <c r="E136" s="2" t="s">
        <v>180</v>
      </c>
      <c r="F136" s="2" t="s">
        <v>181</v>
      </c>
      <c r="G136" s="2" t="s">
        <v>182</v>
      </c>
      <c r="H136" s="2" t="s">
        <v>131</v>
      </c>
      <c r="I136" s="2" t="s">
        <v>132</v>
      </c>
      <c r="J136" s="2" t="s">
        <v>133</v>
      </c>
      <c r="K136" s="2"/>
      <c r="L136" s="3" t="n">
        <v>0</v>
      </c>
      <c r="M136" s="3" t="n">
        <v>6.24</v>
      </c>
      <c r="N136" s="3" t="n">
        <v>48.56</v>
      </c>
      <c r="O136" s="3" t="n">
        <v>0</v>
      </c>
      <c r="P136" s="3" t="n">
        <v>40.13</v>
      </c>
      <c r="Q136" s="3" t="n">
        <v>8.43</v>
      </c>
      <c r="R136" s="3" t="n">
        <f aca="false">P136+Q136</f>
        <v>48.56</v>
      </c>
      <c r="S136" s="3" t="n">
        <v>0</v>
      </c>
      <c r="T136" s="3" t="n">
        <v>21</v>
      </c>
      <c r="U136" s="3" t="n">
        <v>19.13</v>
      </c>
      <c r="V136" s="4" t="n">
        <f aca="false">IF(P136-(O136/1.21)=0,0,U136/(P136-(O136/1.21)))</f>
        <v>0.476700722651383</v>
      </c>
      <c r="W136" s="2" t="s">
        <v>169</v>
      </c>
      <c r="X136" s="2" t="s">
        <v>135</v>
      </c>
      <c r="Y136" s="2" t="s">
        <v>177</v>
      </c>
      <c r="Z136" s="9" t="n">
        <v>2</v>
      </c>
    </row>
    <row r="137" customFormat="false" ht="15" hidden="false" customHeight="false" outlineLevel="0" collapsed="false">
      <c r="A137" s="5" t="s">
        <v>335</v>
      </c>
      <c r="B137" s="10" t="n">
        <v>46004.5625</v>
      </c>
      <c r="C137" s="5" t="s">
        <v>126</v>
      </c>
      <c r="D137" s="5" t="s">
        <v>188</v>
      </c>
      <c r="E137" s="5" t="s">
        <v>189</v>
      </c>
      <c r="F137" s="5" t="s">
        <v>190</v>
      </c>
      <c r="G137" s="5" t="s">
        <v>191</v>
      </c>
      <c r="H137" s="5" t="s">
        <v>131</v>
      </c>
      <c r="I137" s="5" t="s">
        <v>132</v>
      </c>
      <c r="J137" s="5" t="s">
        <v>133</v>
      </c>
      <c r="K137" s="5"/>
      <c r="L137" s="6" t="n">
        <v>0</v>
      </c>
      <c r="M137" s="6" t="n">
        <v>43.35</v>
      </c>
      <c r="N137" s="6" t="n">
        <v>245.65</v>
      </c>
      <c r="O137" s="6" t="n">
        <v>0</v>
      </c>
      <c r="P137" s="6" t="n">
        <v>203.02</v>
      </c>
      <c r="Q137" s="6" t="n">
        <v>42.63</v>
      </c>
      <c r="R137" s="6" t="n">
        <f aca="false">P137+Q137</f>
        <v>245.65</v>
      </c>
      <c r="S137" s="6" t="n">
        <v>0</v>
      </c>
      <c r="T137" s="6" t="n">
        <v>140</v>
      </c>
      <c r="U137" s="6" t="n">
        <v>63.02</v>
      </c>
      <c r="V137" s="7" t="n">
        <f aca="false">IF(P137-(O137/1.21)=0,0,U137/(P137-(O137/1.21)))</f>
        <v>0.310412767215053</v>
      </c>
      <c r="W137" s="5" t="s">
        <v>162</v>
      </c>
      <c r="X137" s="5" t="s">
        <v>135</v>
      </c>
      <c r="Y137" s="5" t="s">
        <v>136</v>
      </c>
      <c r="Z137" s="11" t="n">
        <v>1</v>
      </c>
    </row>
    <row r="138" customFormat="false" ht="15" hidden="false" customHeight="false" outlineLevel="0" collapsed="false">
      <c r="A138" s="2" t="s">
        <v>336</v>
      </c>
      <c r="B138" s="8" t="n">
        <v>46005.5625</v>
      </c>
      <c r="C138" s="2" t="s">
        <v>138</v>
      </c>
      <c r="D138" s="2" t="s">
        <v>164</v>
      </c>
      <c r="E138" s="2" t="s">
        <v>165</v>
      </c>
      <c r="F138" s="2" t="s">
        <v>166</v>
      </c>
      <c r="G138" s="2" t="s">
        <v>167</v>
      </c>
      <c r="H138" s="2" t="s">
        <v>131</v>
      </c>
      <c r="I138" s="2" t="s">
        <v>132</v>
      </c>
      <c r="J138" s="2" t="s">
        <v>133</v>
      </c>
      <c r="K138" s="2" t="s">
        <v>168</v>
      </c>
      <c r="L138" s="3" t="n">
        <v>75.62</v>
      </c>
      <c r="M138" s="3" t="n">
        <v>9.74</v>
      </c>
      <c r="N138" s="3" t="n">
        <v>504.16</v>
      </c>
      <c r="O138" s="3" t="n">
        <v>0</v>
      </c>
      <c r="P138" s="3" t="n">
        <v>354.16</v>
      </c>
      <c r="Q138" s="3" t="n">
        <v>74.38</v>
      </c>
      <c r="R138" s="3" t="n">
        <f aca="false">P138+Q138</f>
        <v>428.54</v>
      </c>
      <c r="S138" s="3" t="n">
        <v>0</v>
      </c>
      <c r="T138" s="3" t="n">
        <v>388</v>
      </c>
      <c r="U138" s="3" t="n">
        <v>-33.84</v>
      </c>
      <c r="V138" s="4" t="n">
        <f aca="false">IF(P138-(O138/1.21)=0,0,U138/(P138-(O138/1.21)))</f>
        <v>-0.0955500338829907</v>
      </c>
      <c r="W138" s="2" t="s">
        <v>134</v>
      </c>
      <c r="X138" s="2" t="s">
        <v>135</v>
      </c>
      <c r="Y138" s="2" t="s">
        <v>156</v>
      </c>
      <c r="Z138" s="9" t="n">
        <v>2</v>
      </c>
    </row>
    <row r="139" customFormat="false" ht="15" hidden="false" customHeight="false" outlineLevel="0" collapsed="false">
      <c r="A139" s="5" t="s">
        <v>337</v>
      </c>
      <c r="B139" s="10" t="n">
        <v>46005.7916666667</v>
      </c>
      <c r="C139" s="5" t="s">
        <v>138</v>
      </c>
      <c r="D139" s="5" t="s">
        <v>149</v>
      </c>
      <c r="E139" s="5" t="s">
        <v>150</v>
      </c>
      <c r="F139" s="5" t="s">
        <v>151</v>
      </c>
      <c r="G139" s="5" t="s">
        <v>152</v>
      </c>
      <c r="H139" s="5" t="s">
        <v>131</v>
      </c>
      <c r="I139" s="5" t="s">
        <v>132</v>
      </c>
      <c r="J139" s="5" t="s">
        <v>133</v>
      </c>
      <c r="K139" s="5" t="s">
        <v>144</v>
      </c>
      <c r="L139" s="6" t="n">
        <v>17.98</v>
      </c>
      <c r="M139" s="6" t="n">
        <v>0</v>
      </c>
      <c r="N139" s="6" t="n">
        <v>89.88</v>
      </c>
      <c r="O139" s="6" t="n">
        <v>9.95</v>
      </c>
      <c r="P139" s="6" t="n">
        <v>68.3</v>
      </c>
      <c r="Q139" s="6" t="n">
        <v>13.55</v>
      </c>
      <c r="R139" s="6" t="n">
        <f aca="false">P139+Q139</f>
        <v>81.85</v>
      </c>
      <c r="S139" s="6" t="n">
        <v>0</v>
      </c>
      <c r="T139" s="6" t="n">
        <v>36.6</v>
      </c>
      <c r="U139" s="6" t="n">
        <v>23.48</v>
      </c>
      <c r="V139" s="7" t="n">
        <f aca="false">IF(P139-(O139/1.21)=0,0,U139/(P139-(O139/1.21)))</f>
        <v>0.390832679900403</v>
      </c>
      <c r="W139" s="5" t="s">
        <v>162</v>
      </c>
      <c r="X139" s="5" t="s">
        <v>146</v>
      </c>
      <c r="Y139" s="5" t="s">
        <v>154</v>
      </c>
      <c r="Z139" s="11" t="n">
        <v>2</v>
      </c>
    </row>
    <row r="140" customFormat="false" ht="15" hidden="false" customHeight="false" outlineLevel="0" collapsed="false">
      <c r="A140" s="2" t="s">
        <v>338</v>
      </c>
      <c r="B140" s="8" t="n">
        <v>46008.6041666667</v>
      </c>
      <c r="C140" s="2" t="s">
        <v>172</v>
      </c>
      <c r="D140" s="2" t="s">
        <v>217</v>
      </c>
      <c r="E140" s="2" t="s">
        <v>218</v>
      </c>
      <c r="F140" s="2" t="s">
        <v>219</v>
      </c>
      <c r="G140" s="2" t="s">
        <v>220</v>
      </c>
      <c r="H140" s="2" t="s">
        <v>131</v>
      </c>
      <c r="I140" s="2" t="s">
        <v>132</v>
      </c>
      <c r="J140" s="2" t="s">
        <v>133</v>
      </c>
      <c r="K140" s="2" t="s">
        <v>168</v>
      </c>
      <c r="L140" s="3" t="n">
        <v>102.87</v>
      </c>
      <c r="M140" s="3" t="n">
        <v>0.8</v>
      </c>
      <c r="N140" s="3" t="n">
        <v>685.79</v>
      </c>
      <c r="O140" s="3" t="n">
        <v>4.95</v>
      </c>
      <c r="P140" s="3" t="n">
        <v>486.35</v>
      </c>
      <c r="Q140" s="3" t="n">
        <v>101.52</v>
      </c>
      <c r="R140" s="3" t="n">
        <f aca="false">P140+Q140</f>
        <v>587.87</v>
      </c>
      <c r="S140" s="3" t="n">
        <v>0</v>
      </c>
      <c r="T140" s="3" t="n">
        <v>314.5</v>
      </c>
      <c r="U140" s="3" t="n">
        <v>167.76</v>
      </c>
      <c r="V140" s="4" t="n">
        <f aca="false">IF(P140-(O140/1.21)=0,0,U140/(P140-(O140/1.21)))</f>
        <v>0.347862804791841</v>
      </c>
      <c r="W140" s="2" t="s">
        <v>169</v>
      </c>
      <c r="X140" s="2" t="s">
        <v>170</v>
      </c>
      <c r="Y140" s="2" t="s">
        <v>177</v>
      </c>
      <c r="Z140" s="9" t="n">
        <v>4</v>
      </c>
    </row>
    <row r="141" customFormat="false" ht="15" hidden="false" customHeight="false" outlineLevel="0" collapsed="false">
      <c r="A141" s="5" t="s">
        <v>339</v>
      </c>
      <c r="B141" s="10" t="n">
        <v>46009.375</v>
      </c>
      <c r="C141" s="5" t="s">
        <v>193</v>
      </c>
      <c r="D141" s="5" t="s">
        <v>158</v>
      </c>
      <c r="E141" s="5" t="s">
        <v>159</v>
      </c>
      <c r="F141" s="5" t="s">
        <v>160</v>
      </c>
      <c r="G141" s="5" t="s">
        <v>161</v>
      </c>
      <c r="H141" s="5" t="s">
        <v>131</v>
      </c>
      <c r="I141" s="5" t="s">
        <v>132</v>
      </c>
      <c r="J141" s="5" t="s">
        <v>133</v>
      </c>
      <c r="K141" s="5"/>
      <c r="L141" s="6" t="n">
        <v>0</v>
      </c>
      <c r="M141" s="6" t="n">
        <v>1.74</v>
      </c>
      <c r="N141" s="6" t="n">
        <v>33.16</v>
      </c>
      <c r="O141" s="6" t="n">
        <v>0</v>
      </c>
      <c r="P141" s="6" t="n">
        <v>27.4</v>
      </c>
      <c r="Q141" s="6" t="n">
        <v>5.76</v>
      </c>
      <c r="R141" s="6" t="n">
        <f aca="false">P141+Q141</f>
        <v>33.16</v>
      </c>
      <c r="S141" s="6" t="n">
        <v>0</v>
      </c>
      <c r="T141" s="6" t="n">
        <v>14</v>
      </c>
      <c r="U141" s="6" t="n">
        <v>13.4</v>
      </c>
      <c r="V141" s="7" t="n">
        <f aca="false">IF(P141-(O141/1.21)=0,0,U141/(P141-(O141/1.21)))</f>
        <v>0.489051094890511</v>
      </c>
      <c r="W141" s="5" t="s">
        <v>153</v>
      </c>
      <c r="X141" s="5" t="s">
        <v>135</v>
      </c>
      <c r="Y141" s="5" t="s">
        <v>136</v>
      </c>
      <c r="Z141" s="11" t="n">
        <v>1</v>
      </c>
    </row>
    <row r="142" customFormat="false" ht="15" hidden="false" customHeight="false" outlineLevel="0" collapsed="false">
      <c r="A142" s="2" t="s">
        <v>340</v>
      </c>
      <c r="B142" s="8" t="n">
        <v>46009.5625</v>
      </c>
      <c r="C142" s="2" t="s">
        <v>126</v>
      </c>
      <c r="D142" s="2" t="s">
        <v>139</v>
      </c>
      <c r="E142" s="2" t="s">
        <v>140</v>
      </c>
      <c r="F142" s="2" t="s">
        <v>141</v>
      </c>
      <c r="G142" s="2" t="s">
        <v>142</v>
      </c>
      <c r="H142" s="2" t="s">
        <v>143</v>
      </c>
      <c r="I142" s="2" t="s">
        <v>132</v>
      </c>
      <c r="J142" s="2" t="s">
        <v>133</v>
      </c>
      <c r="K142" s="2" t="s">
        <v>168</v>
      </c>
      <c r="L142" s="3" t="n">
        <v>17.18</v>
      </c>
      <c r="M142" s="3" t="n">
        <v>0</v>
      </c>
      <c r="N142" s="3" t="n">
        <v>114.5</v>
      </c>
      <c r="O142" s="3" t="n">
        <v>4.95</v>
      </c>
      <c r="P142" s="3" t="n">
        <v>85.34</v>
      </c>
      <c r="Q142" s="3" t="n">
        <v>16.93</v>
      </c>
      <c r="R142" s="3" t="n">
        <f aca="false">P142+Q142</f>
        <v>102.27</v>
      </c>
      <c r="S142" s="3" t="n">
        <v>0</v>
      </c>
      <c r="T142" s="3" t="n">
        <v>49.5</v>
      </c>
      <c r="U142" s="3" t="n">
        <v>31.75</v>
      </c>
      <c r="V142" s="4" t="n">
        <f aca="false">IF(P142-(O142/1.21)=0,0,U142/(P142-(O142/1.21)))</f>
        <v>0.390773603061293</v>
      </c>
      <c r="W142" s="2" t="s">
        <v>153</v>
      </c>
      <c r="X142" s="2" t="s">
        <v>170</v>
      </c>
      <c r="Y142" s="2" t="s">
        <v>177</v>
      </c>
      <c r="Z142" s="9" t="n">
        <v>3</v>
      </c>
    </row>
    <row r="143" customFormat="false" ht="15" hidden="false" customHeight="false" outlineLevel="0" collapsed="false">
      <c r="A143" s="5" t="s">
        <v>341</v>
      </c>
      <c r="B143" s="10" t="n">
        <v>46009.59375</v>
      </c>
      <c r="C143" s="5" t="s">
        <v>126</v>
      </c>
      <c r="D143" s="5" t="s">
        <v>158</v>
      </c>
      <c r="E143" s="5" t="s">
        <v>159</v>
      </c>
      <c r="F143" s="5" t="s">
        <v>160</v>
      </c>
      <c r="G143" s="5" t="s">
        <v>161</v>
      </c>
      <c r="H143" s="5" t="s">
        <v>131</v>
      </c>
      <c r="I143" s="5" t="s">
        <v>132</v>
      </c>
      <c r="J143" s="5" t="s">
        <v>133</v>
      </c>
      <c r="K143" s="5" t="s">
        <v>144</v>
      </c>
      <c r="L143" s="6" t="n">
        <v>9.16</v>
      </c>
      <c r="M143" s="6" t="n">
        <v>0</v>
      </c>
      <c r="N143" s="6" t="n">
        <v>45.8</v>
      </c>
      <c r="O143" s="6" t="n">
        <v>0</v>
      </c>
      <c r="P143" s="6" t="n">
        <v>30.28</v>
      </c>
      <c r="Q143" s="6" t="n">
        <v>6.36</v>
      </c>
      <c r="R143" s="6" t="n">
        <f aca="false">P143+Q143</f>
        <v>36.64</v>
      </c>
      <c r="S143" s="6" t="n">
        <v>0</v>
      </c>
      <c r="T143" s="6" t="n">
        <v>16</v>
      </c>
      <c r="U143" s="6" t="n">
        <v>14.28</v>
      </c>
      <c r="V143" s="7" t="n">
        <f aca="false">IF(P143-(O143/1.21)=0,0,U143/(P143-(O143/1.21)))</f>
        <v>0.471598414795244</v>
      </c>
      <c r="W143" s="5" t="s">
        <v>145</v>
      </c>
      <c r="X143" s="5" t="s">
        <v>135</v>
      </c>
      <c r="Y143" s="5" t="s">
        <v>156</v>
      </c>
      <c r="Z143" s="11" t="n">
        <v>1</v>
      </c>
    </row>
    <row r="144" customFormat="false" ht="15" hidden="false" customHeight="false" outlineLevel="0" collapsed="false">
      <c r="A144" s="2" t="s">
        <v>342</v>
      </c>
      <c r="B144" s="8" t="n">
        <v>46009.90625</v>
      </c>
      <c r="C144" s="2" t="s">
        <v>148</v>
      </c>
      <c r="D144" s="2" t="s">
        <v>223</v>
      </c>
      <c r="E144" s="2" t="s">
        <v>224</v>
      </c>
      <c r="F144" s="2" t="s">
        <v>225</v>
      </c>
      <c r="G144" s="2" t="s">
        <v>226</v>
      </c>
      <c r="H144" s="2" t="s">
        <v>131</v>
      </c>
      <c r="I144" s="2" t="s">
        <v>132</v>
      </c>
      <c r="J144" s="2" t="s">
        <v>133</v>
      </c>
      <c r="K144" s="2" t="s">
        <v>144</v>
      </c>
      <c r="L144" s="3" t="n">
        <v>11.98</v>
      </c>
      <c r="M144" s="3" t="n">
        <v>0</v>
      </c>
      <c r="N144" s="3" t="n">
        <v>59.9</v>
      </c>
      <c r="O144" s="3" t="n">
        <v>4.95</v>
      </c>
      <c r="P144" s="3" t="n">
        <v>43.69</v>
      </c>
      <c r="Q144" s="3" t="n">
        <v>9.18</v>
      </c>
      <c r="R144" s="3" t="n">
        <f aca="false">P144+Q144</f>
        <v>52.87</v>
      </c>
      <c r="S144" s="3" t="n">
        <v>0</v>
      </c>
      <c r="T144" s="3" t="n">
        <v>24</v>
      </c>
      <c r="U144" s="3" t="n">
        <v>15.6</v>
      </c>
      <c r="V144" s="4" t="n">
        <f aca="false">IF(P144-(O144/1.21)=0,0,U144/(P144-(O144/1.21)))</f>
        <v>0.393948437751096</v>
      </c>
      <c r="W144" s="2" t="s">
        <v>169</v>
      </c>
      <c r="X144" s="2" t="s">
        <v>170</v>
      </c>
      <c r="Y144" s="2" t="s">
        <v>136</v>
      </c>
      <c r="Z144" s="9" t="n">
        <v>1</v>
      </c>
    </row>
    <row r="145" customFormat="false" ht="15" hidden="false" customHeight="false" outlineLevel="0" collapsed="false">
      <c r="A145" s="5" t="s">
        <v>343</v>
      </c>
      <c r="B145" s="10" t="n">
        <v>46011.53125</v>
      </c>
      <c r="C145" s="5" t="s">
        <v>138</v>
      </c>
      <c r="D145" s="5" t="s">
        <v>179</v>
      </c>
      <c r="E145" s="5" t="s">
        <v>180</v>
      </c>
      <c r="F145" s="5" t="s">
        <v>181</v>
      </c>
      <c r="G145" s="5" t="s">
        <v>182</v>
      </c>
      <c r="H145" s="5" t="s">
        <v>131</v>
      </c>
      <c r="I145" s="5" t="s">
        <v>185</v>
      </c>
      <c r="J145" s="5" t="s">
        <v>185</v>
      </c>
      <c r="K145" s="5" t="s">
        <v>186</v>
      </c>
      <c r="L145" s="6" t="n">
        <v>0</v>
      </c>
      <c r="M145" s="6" t="n">
        <v>0</v>
      </c>
      <c r="N145" s="6" t="n">
        <v>39.9</v>
      </c>
      <c r="O145" s="6" t="n">
        <v>0</v>
      </c>
      <c r="P145" s="6" t="n">
        <v>32.98</v>
      </c>
      <c r="Q145" s="6" t="n">
        <v>6.92</v>
      </c>
      <c r="R145" s="6" t="n">
        <f aca="false">P145+Q145</f>
        <v>39.9</v>
      </c>
      <c r="S145" s="6" t="n">
        <v>0</v>
      </c>
      <c r="T145" s="6" t="n">
        <v>16</v>
      </c>
      <c r="U145" s="6" t="n">
        <v>16.98</v>
      </c>
      <c r="V145" s="7" t="n">
        <f aca="false">IF(P145-(O145/1.21)=0,0,U145/(P145-(O145/1.21)))</f>
        <v>0.514857489387508</v>
      </c>
      <c r="W145" s="5" t="s">
        <v>134</v>
      </c>
      <c r="X145" s="5" t="s">
        <v>146</v>
      </c>
      <c r="Y145" s="5" t="s">
        <v>156</v>
      </c>
      <c r="Z145" s="11" t="n">
        <v>1</v>
      </c>
    </row>
    <row r="146" customFormat="false" ht="15" hidden="false" customHeight="false" outlineLevel="0" collapsed="false">
      <c r="A146" s="2" t="s">
        <v>344</v>
      </c>
      <c r="B146" s="8" t="n">
        <v>46011.7916666667</v>
      </c>
      <c r="C146" s="2" t="s">
        <v>126</v>
      </c>
      <c r="D146" s="2" t="s">
        <v>158</v>
      </c>
      <c r="E146" s="2" t="s">
        <v>159</v>
      </c>
      <c r="F146" s="2" t="s">
        <v>160</v>
      </c>
      <c r="G146" s="2" t="s">
        <v>161</v>
      </c>
      <c r="H146" s="2" t="s">
        <v>131</v>
      </c>
      <c r="I146" s="2" t="s">
        <v>132</v>
      </c>
      <c r="J146" s="2" t="s">
        <v>133</v>
      </c>
      <c r="K146" s="2" t="s">
        <v>168</v>
      </c>
      <c r="L146" s="3" t="n">
        <v>27.7</v>
      </c>
      <c r="M146" s="3" t="n">
        <v>0</v>
      </c>
      <c r="N146" s="3" t="n">
        <v>184.7</v>
      </c>
      <c r="O146" s="3" t="n">
        <v>0</v>
      </c>
      <c r="P146" s="3" t="n">
        <v>129.76</v>
      </c>
      <c r="Q146" s="3" t="n">
        <v>27.24</v>
      </c>
      <c r="R146" s="3" t="n">
        <f aca="false">P146+Q146</f>
        <v>157</v>
      </c>
      <c r="S146" s="3" t="n">
        <v>0</v>
      </c>
      <c r="T146" s="3" t="n">
        <v>72.5</v>
      </c>
      <c r="U146" s="3" t="n">
        <v>57.26</v>
      </c>
      <c r="V146" s="4" t="n">
        <f aca="false">IF(P146-(O146/1.21)=0,0,U146/(P146-(O146/1.21)))</f>
        <v>0.441276202219482</v>
      </c>
      <c r="W146" s="2" t="s">
        <v>134</v>
      </c>
      <c r="X146" s="2" t="s">
        <v>135</v>
      </c>
      <c r="Y146" s="2" t="s">
        <v>136</v>
      </c>
      <c r="Z146" s="9" t="n">
        <v>2</v>
      </c>
    </row>
    <row r="147" customFormat="false" ht="15" hidden="false" customHeight="false" outlineLevel="0" collapsed="false">
      <c r="A147" s="5" t="s">
        <v>345</v>
      </c>
      <c r="B147" s="10" t="n">
        <v>46012.53125</v>
      </c>
      <c r="C147" s="5" t="s">
        <v>126</v>
      </c>
      <c r="D147" s="5" t="s">
        <v>217</v>
      </c>
      <c r="E147" s="5" t="s">
        <v>218</v>
      </c>
      <c r="F147" s="5" t="s">
        <v>219</v>
      </c>
      <c r="G147" s="5" t="s">
        <v>220</v>
      </c>
      <c r="H147" s="5" t="s">
        <v>131</v>
      </c>
      <c r="I147" s="5" t="s">
        <v>132</v>
      </c>
      <c r="J147" s="5" t="s">
        <v>133</v>
      </c>
      <c r="K147" s="5" t="s">
        <v>144</v>
      </c>
      <c r="L147" s="6" t="n">
        <v>6.24</v>
      </c>
      <c r="M147" s="6" t="n">
        <v>0</v>
      </c>
      <c r="N147" s="6" t="n">
        <v>31.2</v>
      </c>
      <c r="O147" s="6" t="n">
        <v>9.95</v>
      </c>
      <c r="P147" s="6" t="n">
        <v>30.91</v>
      </c>
      <c r="Q147" s="6" t="n">
        <v>4</v>
      </c>
      <c r="R147" s="6" t="n">
        <f aca="false">P147+Q147</f>
        <v>34.91</v>
      </c>
      <c r="S147" s="6" t="n">
        <v>0</v>
      </c>
      <c r="T147" s="6" t="n">
        <v>20</v>
      </c>
      <c r="U147" s="6" t="n">
        <v>2.69</v>
      </c>
      <c r="V147" s="7" t="n">
        <f aca="false">IF(P147-(O147/1.21)=0,0,U147/(P147-(O147/1.21)))</f>
        <v>0.118570840512766</v>
      </c>
      <c r="W147" s="5" t="s">
        <v>162</v>
      </c>
      <c r="X147" s="5" t="s">
        <v>146</v>
      </c>
      <c r="Y147" s="5" t="s">
        <v>154</v>
      </c>
      <c r="Z147" s="11" t="n">
        <v>1</v>
      </c>
    </row>
    <row r="148" customFormat="false" ht="15" hidden="false" customHeight="false" outlineLevel="0" collapsed="false">
      <c r="A148" s="2" t="s">
        <v>346</v>
      </c>
      <c r="B148" s="8" t="n">
        <v>46012.7291666667</v>
      </c>
      <c r="C148" s="2" t="s">
        <v>172</v>
      </c>
      <c r="D148" s="2" t="s">
        <v>173</v>
      </c>
      <c r="E148" s="2" t="s">
        <v>174</v>
      </c>
      <c r="F148" s="2" t="s">
        <v>175</v>
      </c>
      <c r="G148" s="2" t="s">
        <v>161</v>
      </c>
      <c r="H148" s="2" t="s">
        <v>131</v>
      </c>
      <c r="I148" s="2" t="s">
        <v>231</v>
      </c>
      <c r="J148" s="2" t="s">
        <v>133</v>
      </c>
      <c r="K148" s="2" t="s">
        <v>186</v>
      </c>
      <c r="L148" s="3" t="n">
        <v>0</v>
      </c>
      <c r="M148" s="3" t="n">
        <v>0</v>
      </c>
      <c r="N148" s="3" t="n">
        <v>369.4</v>
      </c>
      <c r="O148" s="3" t="n">
        <v>0</v>
      </c>
      <c r="P148" s="3" t="n">
        <v>305.29</v>
      </c>
      <c r="Q148" s="3" t="n">
        <v>64.11</v>
      </c>
      <c r="R148" s="3" t="n">
        <f aca="false">P148+Q148</f>
        <v>369.4</v>
      </c>
      <c r="S148" s="3" t="n">
        <v>369.4</v>
      </c>
      <c r="T148" s="3" t="n">
        <v>152</v>
      </c>
      <c r="U148" s="3" t="n">
        <v>153.29</v>
      </c>
      <c r="V148" s="4" t="n">
        <f aca="false">IF(P148-(O148/1.21)=0,0,U148/(P148-(O148/1.21)))</f>
        <v>0.502112745258607</v>
      </c>
      <c r="W148" s="2" t="s">
        <v>145</v>
      </c>
      <c r="X148" s="2" t="s">
        <v>135</v>
      </c>
      <c r="Y148" s="2" t="s">
        <v>154</v>
      </c>
      <c r="Z148" s="9" t="n">
        <v>2</v>
      </c>
    </row>
    <row r="149" customFormat="false" ht="15" hidden="false" customHeight="false" outlineLevel="0" collapsed="false">
      <c r="A149" s="5" t="s">
        <v>347</v>
      </c>
      <c r="B149" s="10" t="n">
        <v>46013.5104166667</v>
      </c>
      <c r="C149" s="5" t="s">
        <v>126</v>
      </c>
      <c r="D149" s="5" t="s">
        <v>158</v>
      </c>
      <c r="E149" s="5" t="s">
        <v>159</v>
      </c>
      <c r="F149" s="5" t="s">
        <v>160</v>
      </c>
      <c r="G149" s="5" t="s">
        <v>161</v>
      </c>
      <c r="H149" s="5" t="s">
        <v>131</v>
      </c>
      <c r="I149" s="5" t="s">
        <v>132</v>
      </c>
      <c r="J149" s="5" t="s">
        <v>133</v>
      </c>
      <c r="K149" s="5" t="s">
        <v>144</v>
      </c>
      <c r="L149" s="6" t="n">
        <v>11.98</v>
      </c>
      <c r="M149" s="6" t="n">
        <v>0</v>
      </c>
      <c r="N149" s="6" t="n">
        <v>59.9</v>
      </c>
      <c r="O149" s="6" t="n">
        <v>4.95</v>
      </c>
      <c r="P149" s="6" t="n">
        <v>43.69</v>
      </c>
      <c r="Q149" s="6" t="n">
        <v>9.18</v>
      </c>
      <c r="R149" s="6" t="n">
        <f aca="false">P149+Q149</f>
        <v>52.87</v>
      </c>
      <c r="S149" s="6" t="n">
        <v>0</v>
      </c>
      <c r="T149" s="6" t="n">
        <v>24</v>
      </c>
      <c r="U149" s="6" t="n">
        <v>15.6</v>
      </c>
      <c r="V149" s="7" t="n">
        <f aca="false">IF(P149-(O149/1.21)=0,0,U149/(P149-(O149/1.21)))</f>
        <v>0.393948437751096</v>
      </c>
      <c r="W149" s="5" t="s">
        <v>134</v>
      </c>
      <c r="X149" s="5" t="s">
        <v>170</v>
      </c>
      <c r="Y149" s="5" t="s">
        <v>154</v>
      </c>
      <c r="Z149" s="11" t="n">
        <v>1</v>
      </c>
    </row>
    <row r="150" customFormat="false" ht="15" hidden="false" customHeight="false" outlineLevel="0" collapsed="false">
      <c r="A150" s="2" t="s">
        <v>348</v>
      </c>
      <c r="B150" s="8" t="n">
        <v>46013.6041666667</v>
      </c>
      <c r="C150" s="2" t="s">
        <v>148</v>
      </c>
      <c r="D150" s="2" t="s">
        <v>217</v>
      </c>
      <c r="E150" s="2" t="s">
        <v>218</v>
      </c>
      <c r="F150" s="2" t="s">
        <v>219</v>
      </c>
      <c r="G150" s="2" t="s">
        <v>220</v>
      </c>
      <c r="H150" s="2" t="s">
        <v>131</v>
      </c>
      <c r="I150" s="2" t="s">
        <v>132</v>
      </c>
      <c r="J150" s="2" t="s">
        <v>133</v>
      </c>
      <c r="K150" s="2"/>
      <c r="L150" s="3" t="n">
        <v>0</v>
      </c>
      <c r="M150" s="3" t="n">
        <v>17.97</v>
      </c>
      <c r="N150" s="3" t="n">
        <v>256.43</v>
      </c>
      <c r="O150" s="3" t="n">
        <v>4.95</v>
      </c>
      <c r="P150" s="3" t="n">
        <v>216.02</v>
      </c>
      <c r="Q150" s="3" t="n">
        <v>45.36</v>
      </c>
      <c r="R150" s="3" t="n">
        <f aca="false">P150+Q150</f>
        <v>261.38</v>
      </c>
      <c r="S150" s="3" t="n">
        <v>0</v>
      </c>
      <c r="T150" s="3" t="n">
        <v>115.8</v>
      </c>
      <c r="U150" s="3" t="n">
        <v>96.13</v>
      </c>
      <c r="V150" s="4" t="n">
        <f aca="false">IF(P150-(O150/1.21)=0,0,U150/(P150-(O150/1.21)))</f>
        <v>0.453595113288321</v>
      </c>
      <c r="W150" s="2" t="s">
        <v>153</v>
      </c>
      <c r="X150" s="2" t="s">
        <v>170</v>
      </c>
      <c r="Y150" s="2" t="s">
        <v>154</v>
      </c>
      <c r="Z150" s="9" t="n">
        <v>3</v>
      </c>
    </row>
    <row r="151" customFormat="false" ht="15" hidden="false" customHeight="false" outlineLevel="0" collapsed="false">
      <c r="A151" s="5" t="s">
        <v>349</v>
      </c>
      <c r="B151" s="10" t="n">
        <v>46013.7291666667</v>
      </c>
      <c r="C151" s="5" t="s">
        <v>126</v>
      </c>
      <c r="D151" s="5" t="s">
        <v>202</v>
      </c>
      <c r="E151" s="5" t="s">
        <v>203</v>
      </c>
      <c r="F151" s="5" t="s">
        <v>204</v>
      </c>
      <c r="G151" s="5" t="s">
        <v>205</v>
      </c>
      <c r="H151" s="5" t="s">
        <v>131</v>
      </c>
      <c r="I151" s="5" t="s">
        <v>132</v>
      </c>
      <c r="J151" s="5" t="s">
        <v>133</v>
      </c>
      <c r="K151" s="5"/>
      <c r="L151" s="6" t="n">
        <v>0</v>
      </c>
      <c r="M151" s="6" t="n">
        <v>0</v>
      </c>
      <c r="N151" s="6" t="n">
        <v>209.7</v>
      </c>
      <c r="O151" s="6" t="n">
        <v>0</v>
      </c>
      <c r="P151" s="6" t="n">
        <v>173.31</v>
      </c>
      <c r="Q151" s="6" t="n">
        <v>36.39</v>
      </c>
      <c r="R151" s="6" t="n">
        <f aca="false">P151+Q151</f>
        <v>209.7</v>
      </c>
      <c r="S151" s="6" t="n">
        <v>0</v>
      </c>
      <c r="T151" s="6" t="n">
        <v>87</v>
      </c>
      <c r="U151" s="6" t="n">
        <v>86.31</v>
      </c>
      <c r="V151" s="7" t="n">
        <f aca="false">IF(P151-(O151/1.21)=0,0,U151/(P151-(O151/1.21)))</f>
        <v>0.498009347412152</v>
      </c>
      <c r="W151" s="5" t="s">
        <v>153</v>
      </c>
      <c r="X151" s="5" t="s">
        <v>135</v>
      </c>
      <c r="Y151" s="5" t="s">
        <v>136</v>
      </c>
      <c r="Z151" s="11" t="n">
        <v>1</v>
      </c>
    </row>
    <row r="152" customFormat="false" ht="15" hidden="false" customHeight="false" outlineLevel="0" collapsed="false">
      <c r="A152" s="2" t="s">
        <v>350</v>
      </c>
      <c r="B152" s="8" t="n">
        <v>46013.8645833333</v>
      </c>
      <c r="C152" s="2" t="s">
        <v>126</v>
      </c>
      <c r="D152" s="2" t="s">
        <v>127</v>
      </c>
      <c r="E152" s="2" t="s">
        <v>128</v>
      </c>
      <c r="F152" s="2" t="s">
        <v>129</v>
      </c>
      <c r="G152" s="2" t="s">
        <v>130</v>
      </c>
      <c r="H152" s="2" t="s">
        <v>131</v>
      </c>
      <c r="I152" s="2" t="s">
        <v>132</v>
      </c>
      <c r="J152" s="2" t="s">
        <v>133</v>
      </c>
      <c r="K152" s="2" t="s">
        <v>168</v>
      </c>
      <c r="L152" s="3" t="n">
        <v>1.2</v>
      </c>
      <c r="M152" s="3" t="n">
        <v>0</v>
      </c>
      <c r="N152" s="3" t="n">
        <v>7.99</v>
      </c>
      <c r="O152" s="3" t="n">
        <v>0</v>
      </c>
      <c r="P152" s="3" t="n">
        <v>6.17</v>
      </c>
      <c r="Q152" s="3" t="n">
        <v>0.62</v>
      </c>
      <c r="R152" s="3" t="n">
        <f aca="false">P152+Q152</f>
        <v>6.79</v>
      </c>
      <c r="S152" s="3" t="n">
        <v>0</v>
      </c>
      <c r="T152" s="3" t="n">
        <v>3.4</v>
      </c>
      <c r="U152" s="3" t="n">
        <v>2.77</v>
      </c>
      <c r="V152" s="4" t="n">
        <f aca="false">IF(P152-(O152/1.21)=0,0,U152/(P152-(O152/1.21)))</f>
        <v>0.448946515397083</v>
      </c>
      <c r="W152" s="2" t="s">
        <v>162</v>
      </c>
      <c r="X152" s="2" t="s">
        <v>135</v>
      </c>
      <c r="Y152" s="2" t="s">
        <v>154</v>
      </c>
      <c r="Z152" s="9" t="n">
        <v>1</v>
      </c>
    </row>
    <row r="153" customFormat="false" ht="15" hidden="false" customHeight="false" outlineLevel="0" collapsed="false">
      <c r="A153" s="5" t="s">
        <v>351</v>
      </c>
      <c r="B153" s="10" t="n">
        <v>46014.59375</v>
      </c>
      <c r="C153" s="5" t="s">
        <v>126</v>
      </c>
      <c r="D153" s="5" t="s">
        <v>149</v>
      </c>
      <c r="E153" s="5" t="s">
        <v>150</v>
      </c>
      <c r="F153" s="5" t="s">
        <v>151</v>
      </c>
      <c r="G153" s="5" t="s">
        <v>152</v>
      </c>
      <c r="H153" s="5" t="s">
        <v>131</v>
      </c>
      <c r="I153" s="5" t="s">
        <v>132</v>
      </c>
      <c r="J153" s="5" t="s">
        <v>133</v>
      </c>
      <c r="K153" s="5" t="s">
        <v>144</v>
      </c>
      <c r="L153" s="6" t="n">
        <v>21.96</v>
      </c>
      <c r="M153" s="6" t="n">
        <v>0</v>
      </c>
      <c r="N153" s="6" t="n">
        <v>109.8</v>
      </c>
      <c r="O153" s="6" t="n">
        <v>9.95</v>
      </c>
      <c r="P153" s="6" t="n">
        <v>80.82</v>
      </c>
      <c r="Q153" s="6" t="n">
        <v>16.97</v>
      </c>
      <c r="R153" s="6" t="n">
        <f aca="false">P153+Q153</f>
        <v>97.79</v>
      </c>
      <c r="S153" s="6" t="n">
        <v>0</v>
      </c>
      <c r="T153" s="6" t="n">
        <v>44</v>
      </c>
      <c r="U153" s="6" t="n">
        <v>28.6</v>
      </c>
      <c r="V153" s="7" t="n">
        <f aca="false">IF(P153-(O153/1.21)=0,0,U153/(P153-(O153/1.21)))</f>
        <v>0.393956435517325</v>
      </c>
      <c r="W153" s="5" t="s">
        <v>162</v>
      </c>
      <c r="X153" s="5" t="s">
        <v>146</v>
      </c>
      <c r="Y153" s="5" t="s">
        <v>136</v>
      </c>
      <c r="Z153" s="11" t="n">
        <v>1</v>
      </c>
    </row>
    <row r="154" customFormat="false" ht="15" hidden="false" customHeight="false" outlineLevel="0" collapsed="false">
      <c r="A154" s="2" t="s">
        <v>352</v>
      </c>
      <c r="B154" s="8" t="n">
        <v>46014.6041666667</v>
      </c>
      <c r="C154" s="2" t="s">
        <v>126</v>
      </c>
      <c r="D154" s="2" t="s">
        <v>158</v>
      </c>
      <c r="E154" s="2" t="s">
        <v>159</v>
      </c>
      <c r="F154" s="2" t="s">
        <v>160</v>
      </c>
      <c r="G154" s="2" t="s">
        <v>161</v>
      </c>
      <c r="H154" s="2" t="s">
        <v>131</v>
      </c>
      <c r="I154" s="2" t="s">
        <v>185</v>
      </c>
      <c r="J154" s="2" t="s">
        <v>185</v>
      </c>
      <c r="K154" s="2"/>
      <c r="L154" s="3" t="n">
        <v>0</v>
      </c>
      <c r="M154" s="3" t="n">
        <v>0</v>
      </c>
      <c r="N154" s="3" t="n">
        <v>18.9</v>
      </c>
      <c r="O154" s="3" t="n">
        <v>9.95</v>
      </c>
      <c r="P154" s="3" t="n">
        <v>23.84</v>
      </c>
      <c r="Q154" s="3" t="n">
        <v>5.01</v>
      </c>
      <c r="R154" s="3" t="n">
        <f aca="false">P154+Q154</f>
        <v>28.85</v>
      </c>
      <c r="S154" s="3" t="n">
        <v>0</v>
      </c>
      <c r="T154" s="3" t="n">
        <v>6.5</v>
      </c>
      <c r="U154" s="3" t="n">
        <v>9.12</v>
      </c>
      <c r="V154" s="4" t="n">
        <f aca="false">IF(P154-(O154/1.21)=0,0,U154/(P154-(O154/1.21)))</f>
        <v>0.583984250968438</v>
      </c>
      <c r="W154" s="2" t="s">
        <v>169</v>
      </c>
      <c r="X154" s="2" t="s">
        <v>146</v>
      </c>
      <c r="Y154" s="2" t="s">
        <v>156</v>
      </c>
      <c r="Z154" s="9" t="n">
        <v>1</v>
      </c>
    </row>
    <row r="155" customFormat="false" ht="15" hidden="false" customHeight="false" outlineLevel="0" collapsed="false">
      <c r="A155" s="5" t="s">
        <v>353</v>
      </c>
      <c r="B155" s="10" t="n">
        <v>46015.875</v>
      </c>
      <c r="C155" s="5" t="s">
        <v>148</v>
      </c>
      <c r="D155" s="5" t="s">
        <v>202</v>
      </c>
      <c r="E155" s="5" t="s">
        <v>203</v>
      </c>
      <c r="F155" s="5" t="s">
        <v>204</v>
      </c>
      <c r="G155" s="5" t="s">
        <v>205</v>
      </c>
      <c r="H155" s="5" t="s">
        <v>131</v>
      </c>
      <c r="I155" s="5" t="s">
        <v>132</v>
      </c>
      <c r="J155" s="5" t="s">
        <v>133</v>
      </c>
      <c r="K155" s="5" t="s">
        <v>144</v>
      </c>
      <c r="L155" s="6" t="n">
        <v>91.74</v>
      </c>
      <c r="M155" s="6" t="n">
        <v>0</v>
      </c>
      <c r="N155" s="6" t="n">
        <v>458.7</v>
      </c>
      <c r="O155" s="6" t="n">
        <v>9.95</v>
      </c>
      <c r="P155" s="6" t="n">
        <v>311.49</v>
      </c>
      <c r="Q155" s="6" t="n">
        <v>65.42</v>
      </c>
      <c r="R155" s="6" t="n">
        <f aca="false">P155+Q155</f>
        <v>376.91</v>
      </c>
      <c r="S155" s="6" t="n">
        <v>0</v>
      </c>
      <c r="T155" s="6" t="n">
        <v>212</v>
      </c>
      <c r="U155" s="6" t="n">
        <v>91.27</v>
      </c>
      <c r="V155" s="7" t="n">
        <f aca="false">IF(P155-(O155/1.21)=0,0,U155/(P155-(O155/1.21)))</f>
        <v>0.300956062753558</v>
      </c>
      <c r="W155" s="5" t="s">
        <v>153</v>
      </c>
      <c r="X155" s="5" t="s">
        <v>146</v>
      </c>
      <c r="Y155" s="5" t="s">
        <v>154</v>
      </c>
      <c r="Z155" s="11" t="n">
        <v>3</v>
      </c>
    </row>
    <row r="156" customFormat="false" ht="15" hidden="false" customHeight="false" outlineLevel="0" collapsed="false">
      <c r="A156" s="2" t="s">
        <v>354</v>
      </c>
      <c r="B156" s="8" t="n">
        <v>46018.4583333333</v>
      </c>
      <c r="C156" s="2" t="s">
        <v>148</v>
      </c>
      <c r="D156" s="2" t="s">
        <v>258</v>
      </c>
      <c r="E156" s="2" t="s">
        <v>259</v>
      </c>
      <c r="F156" s="2" t="s">
        <v>260</v>
      </c>
      <c r="G156" s="2" t="s">
        <v>261</v>
      </c>
      <c r="H156" s="2" t="s">
        <v>131</v>
      </c>
      <c r="I156" s="2" t="s">
        <v>132</v>
      </c>
      <c r="J156" s="2" t="s">
        <v>133</v>
      </c>
      <c r="K156" s="2" t="s">
        <v>168</v>
      </c>
      <c r="L156" s="3" t="n">
        <v>25.37</v>
      </c>
      <c r="M156" s="3" t="n">
        <v>29.85</v>
      </c>
      <c r="N156" s="3" t="n">
        <v>169.15</v>
      </c>
      <c r="O156" s="3" t="n">
        <v>4.95</v>
      </c>
      <c r="P156" s="3" t="n">
        <v>122.92</v>
      </c>
      <c r="Q156" s="3" t="n">
        <v>25.81</v>
      </c>
      <c r="R156" s="3" t="n">
        <f aca="false">P156+Q156</f>
        <v>148.73</v>
      </c>
      <c r="S156" s="3" t="n">
        <v>0</v>
      </c>
      <c r="T156" s="3" t="n">
        <v>95</v>
      </c>
      <c r="U156" s="3" t="n">
        <v>23.83</v>
      </c>
      <c r="V156" s="4" t="n">
        <f aca="false">IF(P156-(O156/1.21)=0,0,U156/(P156-(O156/1.21)))</f>
        <v>0.200540118734317</v>
      </c>
      <c r="W156" s="2" t="s">
        <v>134</v>
      </c>
      <c r="X156" s="2" t="s">
        <v>170</v>
      </c>
      <c r="Y156" s="2" t="s">
        <v>136</v>
      </c>
      <c r="Z156" s="9" t="n">
        <v>1</v>
      </c>
    </row>
    <row r="157" customFormat="false" ht="15" hidden="false" customHeight="false" outlineLevel="0" collapsed="false">
      <c r="A157" s="5" t="s">
        <v>355</v>
      </c>
      <c r="B157" s="10" t="n">
        <v>46019.5208333333</v>
      </c>
      <c r="C157" s="5" t="s">
        <v>126</v>
      </c>
      <c r="D157" s="5" t="s">
        <v>217</v>
      </c>
      <c r="E157" s="5" t="s">
        <v>218</v>
      </c>
      <c r="F157" s="5" t="s">
        <v>219</v>
      </c>
      <c r="G157" s="5" t="s">
        <v>220</v>
      </c>
      <c r="H157" s="5" t="s">
        <v>131</v>
      </c>
      <c r="I157" s="5" t="s">
        <v>132</v>
      </c>
      <c r="J157" s="5" t="s">
        <v>133</v>
      </c>
      <c r="K157" s="5" t="s">
        <v>168</v>
      </c>
      <c r="L157" s="6" t="n">
        <v>3.37</v>
      </c>
      <c r="M157" s="6" t="n">
        <v>0</v>
      </c>
      <c r="N157" s="6" t="n">
        <v>22.45</v>
      </c>
      <c r="O157" s="6" t="n">
        <v>4.95</v>
      </c>
      <c r="P157" s="6" t="n">
        <v>21.44</v>
      </c>
      <c r="Q157" s="6" t="n">
        <v>2.59</v>
      </c>
      <c r="R157" s="6" t="n">
        <f aca="false">P157+Q157</f>
        <v>24.03</v>
      </c>
      <c r="S157" s="6" t="n">
        <v>0</v>
      </c>
      <c r="T157" s="6" t="n">
        <v>10.5</v>
      </c>
      <c r="U157" s="6" t="n">
        <v>6.85</v>
      </c>
      <c r="V157" s="7" t="n">
        <f aca="false">IF(P157-(O157/1.21)=0,0,U157/(P157-(O157/1.21)))</f>
        <v>0.394833368266611</v>
      </c>
      <c r="W157" s="5" t="s">
        <v>153</v>
      </c>
      <c r="X157" s="5" t="s">
        <v>170</v>
      </c>
      <c r="Y157" s="5" t="s">
        <v>177</v>
      </c>
      <c r="Z157" s="11" t="n">
        <v>1</v>
      </c>
    </row>
    <row r="158" customFormat="false" ht="15" hidden="false" customHeight="false" outlineLevel="0" collapsed="false">
      <c r="A158" s="2" t="s">
        <v>356</v>
      </c>
      <c r="B158" s="8" t="n">
        <v>46020.3958333333</v>
      </c>
      <c r="C158" s="2" t="s">
        <v>126</v>
      </c>
      <c r="D158" s="2" t="s">
        <v>158</v>
      </c>
      <c r="E158" s="2" t="s">
        <v>159</v>
      </c>
      <c r="F158" s="2" t="s">
        <v>160</v>
      </c>
      <c r="G158" s="2" t="s">
        <v>161</v>
      </c>
      <c r="H158" s="2" t="s">
        <v>131</v>
      </c>
      <c r="I158" s="2" t="s">
        <v>132</v>
      </c>
      <c r="J158" s="2" t="s">
        <v>133</v>
      </c>
      <c r="K158" s="2"/>
      <c r="L158" s="3" t="n">
        <v>0</v>
      </c>
      <c r="M158" s="3" t="n">
        <v>0</v>
      </c>
      <c r="N158" s="3" t="n">
        <v>526.29</v>
      </c>
      <c r="O158" s="3" t="n">
        <v>0</v>
      </c>
      <c r="P158" s="3" t="n">
        <v>435.15</v>
      </c>
      <c r="Q158" s="3" t="n">
        <v>91.14</v>
      </c>
      <c r="R158" s="3" t="n">
        <f aca="false">P158+Q158</f>
        <v>526.29</v>
      </c>
      <c r="S158" s="3" t="n">
        <v>0</v>
      </c>
      <c r="T158" s="3" t="n">
        <v>391.4</v>
      </c>
      <c r="U158" s="3" t="n">
        <v>43.75</v>
      </c>
      <c r="V158" s="4" t="n">
        <f aca="false">IF(P158-(O158/1.21)=0,0,U158/(P158-(O158/1.21)))</f>
        <v>0.100540043663105</v>
      </c>
      <c r="W158" s="2" t="s">
        <v>169</v>
      </c>
      <c r="X158" s="2" t="s">
        <v>135</v>
      </c>
      <c r="Y158" s="2" t="s">
        <v>154</v>
      </c>
      <c r="Z158" s="9" t="n">
        <v>4</v>
      </c>
    </row>
    <row r="159" customFormat="false" ht="15" hidden="false" customHeight="false" outlineLevel="0" collapsed="false">
      <c r="A159" s="5" t="s">
        <v>357</v>
      </c>
      <c r="B159" s="10" t="n">
        <v>46020.5520833333</v>
      </c>
      <c r="C159" s="5" t="s">
        <v>172</v>
      </c>
      <c r="D159" s="5" t="s">
        <v>188</v>
      </c>
      <c r="E159" s="5" t="s">
        <v>189</v>
      </c>
      <c r="F159" s="5" t="s">
        <v>190</v>
      </c>
      <c r="G159" s="5" t="s">
        <v>191</v>
      </c>
      <c r="H159" s="5" t="s">
        <v>131</v>
      </c>
      <c r="I159" s="5" t="s">
        <v>132</v>
      </c>
      <c r="J159" s="5" t="s">
        <v>133</v>
      </c>
      <c r="K159" s="5" t="s">
        <v>168</v>
      </c>
      <c r="L159" s="6" t="n">
        <v>107.1</v>
      </c>
      <c r="M159" s="6" t="n">
        <v>0</v>
      </c>
      <c r="N159" s="6" t="n">
        <v>714</v>
      </c>
      <c r="O159" s="6" t="n">
        <v>0</v>
      </c>
      <c r="P159" s="6" t="n">
        <v>501.57</v>
      </c>
      <c r="Q159" s="6" t="n">
        <v>105.33</v>
      </c>
      <c r="R159" s="6" t="n">
        <f aca="false">P159+Q159</f>
        <v>606.9</v>
      </c>
      <c r="S159" s="6" t="n">
        <v>0</v>
      </c>
      <c r="T159" s="6" t="n">
        <v>330</v>
      </c>
      <c r="U159" s="6" t="n">
        <v>171.57</v>
      </c>
      <c r="V159" s="7" t="n">
        <f aca="false">IF(P159-(O159/1.21)=0,0,U159/(P159-(O159/1.21)))</f>
        <v>0.342065913033076</v>
      </c>
      <c r="W159" s="5" t="s">
        <v>169</v>
      </c>
      <c r="X159" s="5" t="s">
        <v>135</v>
      </c>
      <c r="Y159" s="5" t="s">
        <v>156</v>
      </c>
      <c r="Z159" s="11" t="n">
        <v>1</v>
      </c>
    </row>
    <row r="160" customFormat="false" ht="15" hidden="false" customHeight="false" outlineLevel="0" collapsed="false">
      <c r="A160" s="2" t="s">
        <v>358</v>
      </c>
      <c r="B160" s="8" t="n">
        <v>46020.8958333333</v>
      </c>
      <c r="C160" s="2" t="s">
        <v>126</v>
      </c>
      <c r="D160" s="2" t="s">
        <v>149</v>
      </c>
      <c r="E160" s="2" t="s">
        <v>150</v>
      </c>
      <c r="F160" s="2" t="s">
        <v>151</v>
      </c>
      <c r="G160" s="2" t="s">
        <v>152</v>
      </c>
      <c r="H160" s="2" t="s">
        <v>131</v>
      </c>
      <c r="I160" s="2" t="s">
        <v>176</v>
      </c>
      <c r="J160" s="2" t="s">
        <v>133</v>
      </c>
      <c r="K160" s="2"/>
      <c r="L160" s="3" t="n">
        <v>0</v>
      </c>
      <c r="M160" s="3" t="n">
        <v>0</v>
      </c>
      <c r="N160" s="3" t="n">
        <v>239.6</v>
      </c>
      <c r="O160" s="3" t="n">
        <v>9.95</v>
      </c>
      <c r="P160" s="3" t="n">
        <v>206.24</v>
      </c>
      <c r="Q160" s="3" t="n">
        <v>43.31</v>
      </c>
      <c r="R160" s="3" t="n">
        <f aca="false">P160+Q160</f>
        <v>249.55</v>
      </c>
      <c r="S160" s="3" t="n">
        <v>239.6</v>
      </c>
      <c r="T160" s="3" t="n">
        <v>96</v>
      </c>
      <c r="U160" s="3" t="n">
        <v>102.02</v>
      </c>
      <c r="V160" s="4" t="n">
        <f aca="false">IF(P160-(O160/1.21)=0,0,U160/(P160-(O160/1.21)))</f>
        <v>0.515208655745149</v>
      </c>
      <c r="W160" s="2" t="s">
        <v>134</v>
      </c>
      <c r="X160" s="2" t="s">
        <v>146</v>
      </c>
      <c r="Y160" s="2" t="s">
        <v>177</v>
      </c>
      <c r="Z160" s="9" t="n">
        <v>1</v>
      </c>
    </row>
    <row r="161" customFormat="false" ht="15" hidden="false" customHeight="false" outlineLevel="0" collapsed="false">
      <c r="A161" s="5" t="s">
        <v>359</v>
      </c>
      <c r="B161" s="10" t="n">
        <v>46021.6458333333</v>
      </c>
      <c r="C161" s="5" t="s">
        <v>126</v>
      </c>
      <c r="D161" s="5" t="s">
        <v>217</v>
      </c>
      <c r="E161" s="5" t="s">
        <v>218</v>
      </c>
      <c r="F161" s="5" t="s">
        <v>219</v>
      </c>
      <c r="G161" s="5" t="s">
        <v>220</v>
      </c>
      <c r="H161" s="5" t="s">
        <v>131</v>
      </c>
      <c r="I161" s="5" t="s">
        <v>132</v>
      </c>
      <c r="J161" s="5" t="s">
        <v>133</v>
      </c>
      <c r="K161" s="5" t="s">
        <v>144</v>
      </c>
      <c r="L161" s="6" t="n">
        <v>10.78</v>
      </c>
      <c r="M161" s="6" t="n">
        <v>0</v>
      </c>
      <c r="N161" s="6" t="n">
        <v>53.88</v>
      </c>
      <c r="O161" s="6" t="n">
        <v>9.95</v>
      </c>
      <c r="P161" s="6" t="n">
        <v>47.4</v>
      </c>
      <c r="Q161" s="6" t="n">
        <v>5.65</v>
      </c>
      <c r="R161" s="6" t="n">
        <f aca="false">P161+Q161</f>
        <v>53.05</v>
      </c>
      <c r="S161" s="6" t="n">
        <v>0</v>
      </c>
      <c r="T161" s="6" t="n">
        <v>25.2</v>
      </c>
      <c r="U161" s="6" t="n">
        <v>13.98</v>
      </c>
      <c r="V161" s="7" t="n">
        <f aca="false">IF(P161-(O161/1.21)=0,0,U161/(P161-(O161/1.21)))</f>
        <v>0.356843304362501</v>
      </c>
      <c r="W161" s="5" t="s">
        <v>134</v>
      </c>
      <c r="X161" s="5" t="s">
        <v>146</v>
      </c>
      <c r="Y161" s="5" t="s">
        <v>156</v>
      </c>
      <c r="Z161" s="11" t="n">
        <v>1</v>
      </c>
    </row>
    <row r="162" customFormat="false" ht="15" hidden="false" customHeight="false" outlineLevel="0" collapsed="false">
      <c r="A162" s="2" t="s">
        <v>360</v>
      </c>
      <c r="B162" s="8" t="n">
        <v>46021.8645833333</v>
      </c>
      <c r="C162" s="2" t="s">
        <v>138</v>
      </c>
      <c r="D162" s="2" t="s">
        <v>127</v>
      </c>
      <c r="E162" s="2" t="s">
        <v>128</v>
      </c>
      <c r="F162" s="2" t="s">
        <v>129</v>
      </c>
      <c r="G162" s="2" t="s">
        <v>130</v>
      </c>
      <c r="H162" s="2" t="s">
        <v>131</v>
      </c>
      <c r="I162" s="2" t="s">
        <v>132</v>
      </c>
      <c r="J162" s="2" t="s">
        <v>133</v>
      </c>
      <c r="K162" s="2"/>
      <c r="L162" s="3" t="n">
        <v>0</v>
      </c>
      <c r="M162" s="3" t="n">
        <v>5.98</v>
      </c>
      <c r="N162" s="3" t="n">
        <v>53.82</v>
      </c>
      <c r="O162" s="3" t="n">
        <v>4.95</v>
      </c>
      <c r="P162" s="3" t="n">
        <v>48.57</v>
      </c>
      <c r="Q162" s="3" t="n">
        <v>10.2</v>
      </c>
      <c r="R162" s="3" t="n">
        <f aca="false">P162+Q162</f>
        <v>58.77</v>
      </c>
      <c r="S162" s="3" t="n">
        <v>0</v>
      </c>
      <c r="T162" s="3" t="n">
        <v>23.9</v>
      </c>
      <c r="U162" s="3" t="n">
        <v>20.58</v>
      </c>
      <c r="V162" s="4" t="n">
        <f aca="false">IF(P162-(O162/1.21)=0,0,U162/(P162-(O162/1.21)))</f>
        <v>0.462689312649457</v>
      </c>
      <c r="W162" s="2" t="s">
        <v>162</v>
      </c>
      <c r="X162" s="2" t="s">
        <v>170</v>
      </c>
      <c r="Y162" s="2" t="s">
        <v>177</v>
      </c>
      <c r="Z162" s="9" t="n">
        <v>2</v>
      </c>
    </row>
    <row r="163" customFormat="false" ht="15" hidden="false" customHeight="false" outlineLevel="0" collapsed="false">
      <c r="A163" s="5" t="s">
        <v>361</v>
      </c>
      <c r="B163" s="10" t="n">
        <v>46025.4895833333</v>
      </c>
      <c r="C163" s="5" t="s">
        <v>138</v>
      </c>
      <c r="D163" s="5" t="s">
        <v>127</v>
      </c>
      <c r="E163" s="5" t="s">
        <v>128</v>
      </c>
      <c r="F163" s="5" t="s">
        <v>129</v>
      </c>
      <c r="G163" s="5" t="s">
        <v>130</v>
      </c>
      <c r="H163" s="5" t="s">
        <v>131</v>
      </c>
      <c r="I163" s="5" t="s">
        <v>231</v>
      </c>
      <c r="J163" s="5" t="s">
        <v>133</v>
      </c>
      <c r="K163" s="5"/>
      <c r="L163" s="6" t="n">
        <v>0</v>
      </c>
      <c r="M163" s="6" t="n">
        <v>3.6</v>
      </c>
      <c r="N163" s="6" t="n">
        <v>48.07</v>
      </c>
      <c r="O163" s="6" t="n">
        <v>4.95</v>
      </c>
      <c r="P163" s="6" t="n">
        <v>46.15</v>
      </c>
      <c r="Q163" s="6" t="n">
        <v>6.87</v>
      </c>
      <c r="R163" s="6" t="n">
        <f aca="false">P163+Q163</f>
        <v>53.02</v>
      </c>
      <c r="S163" s="6" t="n">
        <v>53.02</v>
      </c>
      <c r="T163" s="6" t="n">
        <v>22.2</v>
      </c>
      <c r="U163" s="6" t="n">
        <v>19.86</v>
      </c>
      <c r="V163" s="7" t="n">
        <f aca="false">IF(P163-(O163/1.21)=0,0,U163/(P163-(O163/1.21)))</f>
        <v>0.472192802334378</v>
      </c>
      <c r="W163" s="5" t="s">
        <v>153</v>
      </c>
      <c r="X163" s="5" t="s">
        <v>170</v>
      </c>
      <c r="Y163" s="5" t="s">
        <v>177</v>
      </c>
      <c r="Z163" s="11" t="n">
        <v>3</v>
      </c>
    </row>
    <row r="164" customFormat="false" ht="15" hidden="false" customHeight="false" outlineLevel="0" collapsed="false">
      <c r="A164" s="2" t="s">
        <v>362</v>
      </c>
      <c r="B164" s="8" t="n">
        <v>46025.5625</v>
      </c>
      <c r="C164" s="2" t="s">
        <v>148</v>
      </c>
      <c r="D164" s="2" t="s">
        <v>173</v>
      </c>
      <c r="E164" s="2" t="s">
        <v>174</v>
      </c>
      <c r="F164" s="2" t="s">
        <v>175</v>
      </c>
      <c r="G164" s="2" t="s">
        <v>161</v>
      </c>
      <c r="H164" s="2" t="s">
        <v>131</v>
      </c>
      <c r="I164" s="2" t="s">
        <v>132</v>
      </c>
      <c r="J164" s="2" t="s">
        <v>133</v>
      </c>
      <c r="K164" s="2"/>
      <c r="L164" s="3" t="n">
        <v>0</v>
      </c>
      <c r="M164" s="3" t="n">
        <v>0</v>
      </c>
      <c r="N164" s="3" t="n">
        <v>269.7</v>
      </c>
      <c r="O164" s="3" t="n">
        <v>0</v>
      </c>
      <c r="P164" s="3" t="n">
        <v>222.89</v>
      </c>
      <c r="Q164" s="3" t="n">
        <v>46.81</v>
      </c>
      <c r="R164" s="3" t="n">
        <f aca="false">P164+Q164</f>
        <v>269.7</v>
      </c>
      <c r="S164" s="3" t="n">
        <v>0</v>
      </c>
      <c r="T164" s="3" t="n">
        <v>144</v>
      </c>
      <c r="U164" s="3" t="n">
        <v>78.89</v>
      </c>
      <c r="V164" s="4" t="n">
        <f aca="false">IF(P164-(O164/1.21)=0,0,U164/(P164-(O164/1.21)))</f>
        <v>0.353941406074745</v>
      </c>
      <c r="W164" s="2" t="s">
        <v>134</v>
      </c>
      <c r="X164" s="2" t="s">
        <v>135</v>
      </c>
      <c r="Y164" s="2" t="s">
        <v>136</v>
      </c>
      <c r="Z164" s="9" t="n">
        <v>1</v>
      </c>
    </row>
    <row r="165" customFormat="false" ht="15" hidden="false" customHeight="false" outlineLevel="0" collapsed="false">
      <c r="A165" s="5" t="s">
        <v>363</v>
      </c>
      <c r="B165" s="10" t="n">
        <v>46027.6354166667</v>
      </c>
      <c r="C165" s="5" t="s">
        <v>126</v>
      </c>
      <c r="D165" s="5" t="s">
        <v>217</v>
      </c>
      <c r="E165" s="5" t="s">
        <v>218</v>
      </c>
      <c r="F165" s="5" t="s">
        <v>219</v>
      </c>
      <c r="G165" s="5" t="s">
        <v>220</v>
      </c>
      <c r="H165" s="5" t="s">
        <v>131</v>
      </c>
      <c r="I165" s="5" t="s">
        <v>132</v>
      </c>
      <c r="J165" s="5" t="s">
        <v>133</v>
      </c>
      <c r="K165" s="5" t="s">
        <v>144</v>
      </c>
      <c r="L165" s="6" t="n">
        <v>43.48</v>
      </c>
      <c r="M165" s="6" t="n">
        <v>0</v>
      </c>
      <c r="N165" s="6" t="n">
        <v>217.4</v>
      </c>
      <c r="O165" s="6" t="n">
        <v>0</v>
      </c>
      <c r="P165" s="6" t="n">
        <v>144.25</v>
      </c>
      <c r="Q165" s="6" t="n">
        <v>29.67</v>
      </c>
      <c r="R165" s="6" t="n">
        <f aca="false">P165+Q165</f>
        <v>173.92</v>
      </c>
      <c r="S165" s="6" t="n">
        <v>0</v>
      </c>
      <c r="T165" s="6" t="n">
        <v>101</v>
      </c>
      <c r="U165" s="6" t="n">
        <v>43.25</v>
      </c>
      <c r="V165" s="7" t="n">
        <f aca="false">IF(P165-(O165/1.21)=0,0,U165/(P165-(O165/1.21)))</f>
        <v>0.299826689774697</v>
      </c>
      <c r="W165" s="5" t="s">
        <v>153</v>
      </c>
      <c r="X165" s="5" t="s">
        <v>135</v>
      </c>
      <c r="Y165" s="5" t="s">
        <v>156</v>
      </c>
      <c r="Z165" s="11" t="n">
        <v>3</v>
      </c>
    </row>
    <row r="166" customFormat="false" ht="15" hidden="false" customHeight="false" outlineLevel="0" collapsed="false">
      <c r="A166" s="2" t="s">
        <v>364</v>
      </c>
      <c r="B166" s="8" t="n">
        <v>46027.8333333333</v>
      </c>
      <c r="C166" s="2" t="s">
        <v>148</v>
      </c>
      <c r="D166" s="2" t="s">
        <v>258</v>
      </c>
      <c r="E166" s="2" t="s">
        <v>259</v>
      </c>
      <c r="F166" s="2" t="s">
        <v>260</v>
      </c>
      <c r="G166" s="2" t="s">
        <v>261</v>
      </c>
      <c r="H166" s="2" t="s">
        <v>131</v>
      </c>
      <c r="I166" s="2" t="s">
        <v>132</v>
      </c>
      <c r="J166" s="2" t="s">
        <v>133</v>
      </c>
      <c r="K166" s="2"/>
      <c r="L166" s="3" t="n">
        <v>0</v>
      </c>
      <c r="M166" s="3" t="n">
        <v>0</v>
      </c>
      <c r="N166" s="3" t="n">
        <v>172.7</v>
      </c>
      <c r="O166" s="3" t="n">
        <v>0</v>
      </c>
      <c r="P166" s="3" t="n">
        <v>142.73</v>
      </c>
      <c r="Q166" s="3" t="n">
        <v>29.97</v>
      </c>
      <c r="R166" s="3" t="n">
        <f aca="false">P166+Q166</f>
        <v>172.7</v>
      </c>
      <c r="S166" s="3" t="n">
        <v>0</v>
      </c>
      <c r="T166" s="3" t="n">
        <v>70.1</v>
      </c>
      <c r="U166" s="3" t="n">
        <v>72.63</v>
      </c>
      <c r="V166" s="4" t="n">
        <f aca="false">IF(P166-(O166/1.21)=0,0,U166/(P166-(O166/1.21)))</f>
        <v>0.508862887970294</v>
      </c>
      <c r="W166" s="2" t="s">
        <v>145</v>
      </c>
      <c r="X166" s="2" t="s">
        <v>135</v>
      </c>
      <c r="Y166" s="2" t="s">
        <v>136</v>
      </c>
      <c r="Z166" s="9" t="n">
        <v>2</v>
      </c>
    </row>
    <row r="167" customFormat="false" ht="15" hidden="false" customHeight="false" outlineLevel="0" collapsed="false">
      <c r="A167" s="5" t="s">
        <v>365</v>
      </c>
      <c r="B167" s="10" t="n">
        <v>46028.375</v>
      </c>
      <c r="C167" s="5" t="s">
        <v>126</v>
      </c>
      <c r="D167" s="5" t="s">
        <v>164</v>
      </c>
      <c r="E167" s="5" t="s">
        <v>165</v>
      </c>
      <c r="F167" s="5" t="s">
        <v>166</v>
      </c>
      <c r="G167" s="5" t="s">
        <v>167</v>
      </c>
      <c r="H167" s="5" t="s">
        <v>131</v>
      </c>
      <c r="I167" s="5" t="s">
        <v>132</v>
      </c>
      <c r="J167" s="5" t="s">
        <v>133</v>
      </c>
      <c r="K167" s="5" t="s">
        <v>168</v>
      </c>
      <c r="L167" s="6" t="n">
        <v>5.67</v>
      </c>
      <c r="M167" s="6" t="n">
        <v>0</v>
      </c>
      <c r="N167" s="6" t="n">
        <v>37.8</v>
      </c>
      <c r="O167" s="6" t="n">
        <v>9.95</v>
      </c>
      <c r="P167" s="6" t="n">
        <v>34.78</v>
      </c>
      <c r="Q167" s="6" t="n">
        <v>7.3</v>
      </c>
      <c r="R167" s="6" t="n">
        <f aca="false">P167+Q167</f>
        <v>42.08</v>
      </c>
      <c r="S167" s="6" t="n">
        <v>0</v>
      </c>
      <c r="T167" s="6" t="n">
        <v>10.6</v>
      </c>
      <c r="U167" s="6" t="n">
        <v>15.96</v>
      </c>
      <c r="V167" s="7" t="n">
        <f aca="false">IF(P167-(O167/1.21)=0,0,U167/(P167-(O167/1.21)))</f>
        <v>0.600974674641655</v>
      </c>
      <c r="W167" s="5" t="s">
        <v>153</v>
      </c>
      <c r="X167" s="5" t="s">
        <v>146</v>
      </c>
      <c r="Y167" s="5" t="s">
        <v>154</v>
      </c>
      <c r="Z167" s="11" t="n">
        <v>2</v>
      </c>
    </row>
    <row r="168" customFormat="false" ht="15" hidden="false" customHeight="false" outlineLevel="0" collapsed="false">
      <c r="A168" s="2" t="s">
        <v>366</v>
      </c>
      <c r="B168" s="8" t="n">
        <v>46028.5625</v>
      </c>
      <c r="C168" s="2" t="s">
        <v>138</v>
      </c>
      <c r="D168" s="2" t="s">
        <v>202</v>
      </c>
      <c r="E168" s="2" t="s">
        <v>203</v>
      </c>
      <c r="F168" s="2" t="s">
        <v>204</v>
      </c>
      <c r="G168" s="2" t="s">
        <v>205</v>
      </c>
      <c r="H168" s="2" t="s">
        <v>131</v>
      </c>
      <c r="I168" s="2" t="s">
        <v>132</v>
      </c>
      <c r="J168" s="2" t="s">
        <v>133</v>
      </c>
      <c r="K168" s="2"/>
      <c r="L168" s="3" t="n">
        <v>0</v>
      </c>
      <c r="M168" s="3" t="n">
        <v>7.48</v>
      </c>
      <c r="N168" s="3" t="n">
        <v>122.24</v>
      </c>
      <c r="O168" s="3" t="n">
        <v>9.95</v>
      </c>
      <c r="P168" s="3" t="n">
        <v>110.73</v>
      </c>
      <c r="Q168" s="3" t="n">
        <v>21.46</v>
      </c>
      <c r="R168" s="3" t="n">
        <f aca="false">P168+Q168</f>
        <v>132.19</v>
      </c>
      <c r="S168" s="3" t="n">
        <v>0</v>
      </c>
      <c r="T168" s="3" t="n">
        <v>56</v>
      </c>
      <c r="U168" s="3" t="n">
        <v>46.51</v>
      </c>
      <c r="V168" s="4" t="n">
        <f aca="false">IF(P168-(O168/1.21)=0,0,U168/(P168-(O168/1.21)))</f>
        <v>0.453725733331291</v>
      </c>
      <c r="W168" s="2" t="s">
        <v>153</v>
      </c>
      <c r="X168" s="2" t="s">
        <v>146</v>
      </c>
      <c r="Y168" s="2" t="s">
        <v>156</v>
      </c>
      <c r="Z168" s="9" t="n">
        <v>2</v>
      </c>
    </row>
    <row r="169" customFormat="false" ht="15" hidden="false" customHeight="false" outlineLevel="0" collapsed="false">
      <c r="A169" s="5" t="s">
        <v>367</v>
      </c>
      <c r="B169" s="10" t="n">
        <v>46028.59375</v>
      </c>
      <c r="C169" s="5" t="s">
        <v>126</v>
      </c>
      <c r="D169" s="5" t="s">
        <v>173</v>
      </c>
      <c r="E169" s="5" t="s">
        <v>174</v>
      </c>
      <c r="F169" s="5" t="s">
        <v>175</v>
      </c>
      <c r="G169" s="5" t="s">
        <v>161</v>
      </c>
      <c r="H169" s="5" t="s">
        <v>131</v>
      </c>
      <c r="I169" s="5" t="s">
        <v>132</v>
      </c>
      <c r="J169" s="5" t="s">
        <v>133</v>
      </c>
      <c r="K169" s="5" t="s">
        <v>168</v>
      </c>
      <c r="L169" s="6" t="n">
        <v>13.48</v>
      </c>
      <c r="M169" s="6" t="n">
        <v>0</v>
      </c>
      <c r="N169" s="6" t="n">
        <v>89.9</v>
      </c>
      <c r="O169" s="6" t="n">
        <v>9.95</v>
      </c>
      <c r="P169" s="6" t="n">
        <v>71.38</v>
      </c>
      <c r="Q169" s="6" t="n">
        <v>14.99</v>
      </c>
      <c r="R169" s="6" t="n">
        <f aca="false">P169+Q169</f>
        <v>86.37</v>
      </c>
      <c r="S169" s="6" t="n">
        <v>0</v>
      </c>
      <c r="T169" s="6" t="n">
        <v>38.5</v>
      </c>
      <c r="U169" s="6" t="n">
        <v>24.66</v>
      </c>
      <c r="V169" s="7" t="n">
        <f aca="false">IF(P169-(O169/1.21)=0,0,U169/(P169-(O169/1.21)))</f>
        <v>0.390456400042921</v>
      </c>
      <c r="W169" s="5" t="s">
        <v>153</v>
      </c>
      <c r="X169" s="5" t="s">
        <v>146</v>
      </c>
      <c r="Y169" s="5" t="s">
        <v>156</v>
      </c>
      <c r="Z169" s="11" t="n">
        <v>1</v>
      </c>
    </row>
    <row r="170" customFormat="false" ht="15" hidden="false" customHeight="false" outlineLevel="0" collapsed="false">
      <c r="A170" s="2" t="s">
        <v>368</v>
      </c>
      <c r="B170" s="8" t="n">
        <v>46032.3854166667</v>
      </c>
      <c r="C170" s="2" t="s">
        <v>138</v>
      </c>
      <c r="D170" s="2" t="s">
        <v>202</v>
      </c>
      <c r="E170" s="2" t="s">
        <v>203</v>
      </c>
      <c r="F170" s="2" t="s">
        <v>204</v>
      </c>
      <c r="G170" s="2" t="s">
        <v>205</v>
      </c>
      <c r="H170" s="2" t="s">
        <v>131</v>
      </c>
      <c r="I170" s="2" t="s">
        <v>132</v>
      </c>
      <c r="J170" s="2" t="s">
        <v>133</v>
      </c>
      <c r="K170" s="2"/>
      <c r="L170" s="3" t="n">
        <v>0</v>
      </c>
      <c r="M170" s="3" t="n">
        <v>0</v>
      </c>
      <c r="N170" s="3" t="n">
        <v>1878.5</v>
      </c>
      <c r="O170" s="3" t="n">
        <v>4.95</v>
      </c>
      <c r="P170" s="3" t="n">
        <v>1556.57</v>
      </c>
      <c r="Q170" s="3" t="n">
        <v>326.88</v>
      </c>
      <c r="R170" s="3" t="n">
        <f aca="false">P170+Q170</f>
        <v>1883.45</v>
      </c>
      <c r="S170" s="3" t="n">
        <v>0</v>
      </c>
      <c r="T170" s="3" t="n">
        <v>961</v>
      </c>
      <c r="U170" s="3" t="n">
        <v>591.48</v>
      </c>
      <c r="V170" s="4" t="n">
        <f aca="false">IF(P170-(O170/1.21)=0,0,U170/(P170-(O170/1.21)))</f>
        <v>0.380990638433426</v>
      </c>
      <c r="W170" s="2" t="s">
        <v>134</v>
      </c>
      <c r="X170" s="2" t="s">
        <v>170</v>
      </c>
      <c r="Y170" s="2" t="s">
        <v>154</v>
      </c>
      <c r="Z170" s="9" t="n">
        <v>5</v>
      </c>
    </row>
    <row r="171" customFormat="false" ht="15" hidden="false" customHeight="false" outlineLevel="0" collapsed="false">
      <c r="A171" s="5" t="s">
        <v>369</v>
      </c>
      <c r="B171" s="10" t="n">
        <v>46033.7291666667</v>
      </c>
      <c r="C171" s="5" t="s">
        <v>138</v>
      </c>
      <c r="D171" s="5" t="s">
        <v>179</v>
      </c>
      <c r="E171" s="5" t="s">
        <v>180</v>
      </c>
      <c r="F171" s="5" t="s">
        <v>181</v>
      </c>
      <c r="G171" s="5" t="s">
        <v>182</v>
      </c>
      <c r="H171" s="5" t="s">
        <v>131</v>
      </c>
      <c r="I171" s="5" t="s">
        <v>132</v>
      </c>
      <c r="J171" s="5" t="s">
        <v>133</v>
      </c>
      <c r="K171" s="5" t="s">
        <v>186</v>
      </c>
      <c r="L171" s="6" t="n">
        <v>0</v>
      </c>
      <c r="M171" s="6" t="n">
        <v>0</v>
      </c>
      <c r="N171" s="6" t="n">
        <v>12.9</v>
      </c>
      <c r="O171" s="6" t="n">
        <v>0</v>
      </c>
      <c r="P171" s="6" t="n">
        <v>10.66</v>
      </c>
      <c r="Q171" s="6" t="n">
        <v>2.24</v>
      </c>
      <c r="R171" s="6" t="n">
        <f aca="false">P171+Q171</f>
        <v>12.9</v>
      </c>
      <c r="S171" s="6" t="n">
        <v>0</v>
      </c>
      <c r="T171" s="6" t="n">
        <v>2.1</v>
      </c>
      <c r="U171" s="6" t="n">
        <v>8.56</v>
      </c>
      <c r="V171" s="7" t="n">
        <f aca="false">IF(P171-(O171/1.21)=0,0,U171/(P171-(O171/1.21)))</f>
        <v>0.803001876172608</v>
      </c>
      <c r="W171" s="5" t="s">
        <v>134</v>
      </c>
      <c r="X171" s="5" t="s">
        <v>170</v>
      </c>
      <c r="Y171" s="5" t="s">
        <v>156</v>
      </c>
      <c r="Z171" s="11" t="n">
        <v>1</v>
      </c>
    </row>
    <row r="172" customFormat="false" ht="15" hidden="false" customHeight="false" outlineLevel="0" collapsed="false">
      <c r="A172" s="2" t="s">
        <v>370</v>
      </c>
      <c r="B172" s="8" t="n">
        <v>46034.5520833333</v>
      </c>
      <c r="C172" s="2" t="s">
        <v>126</v>
      </c>
      <c r="D172" s="2" t="s">
        <v>179</v>
      </c>
      <c r="E172" s="2" t="s">
        <v>180</v>
      </c>
      <c r="F172" s="2" t="s">
        <v>181</v>
      </c>
      <c r="G172" s="2" t="s">
        <v>182</v>
      </c>
      <c r="H172" s="2" t="s">
        <v>131</v>
      </c>
      <c r="I172" s="2" t="s">
        <v>132</v>
      </c>
      <c r="J172" s="2" t="s">
        <v>133</v>
      </c>
      <c r="K172" s="2" t="s">
        <v>200</v>
      </c>
      <c r="L172" s="3" t="n">
        <v>2.18</v>
      </c>
      <c r="M172" s="3" t="n">
        <v>1.14</v>
      </c>
      <c r="N172" s="3" t="n">
        <v>21.76</v>
      </c>
      <c r="O172" s="3" t="n">
        <v>0</v>
      </c>
      <c r="P172" s="3" t="n">
        <v>16.18</v>
      </c>
      <c r="Q172" s="3" t="n">
        <v>3.4</v>
      </c>
      <c r="R172" s="3" t="n">
        <f aca="false">P172+Q172</f>
        <v>19.58</v>
      </c>
      <c r="S172" s="3" t="n">
        <v>0</v>
      </c>
      <c r="T172" s="3" t="n">
        <v>8</v>
      </c>
      <c r="U172" s="3" t="n">
        <v>8.18</v>
      </c>
      <c r="V172" s="4" t="n">
        <f aca="false">IF(P172-(O172/1.21)=0,0,U172/(P172-(O172/1.21)))</f>
        <v>0.505562422744129</v>
      </c>
      <c r="W172" s="2" t="s">
        <v>162</v>
      </c>
      <c r="X172" s="2" t="s">
        <v>135</v>
      </c>
      <c r="Y172" s="2" t="s">
        <v>154</v>
      </c>
      <c r="Z172" s="9" t="n">
        <v>1</v>
      </c>
    </row>
    <row r="173" customFormat="false" ht="15" hidden="false" customHeight="false" outlineLevel="0" collapsed="false">
      <c r="A173" s="5" t="s">
        <v>371</v>
      </c>
      <c r="B173" s="10" t="n">
        <v>46035.71875</v>
      </c>
      <c r="C173" s="5" t="s">
        <v>148</v>
      </c>
      <c r="D173" s="5" t="s">
        <v>164</v>
      </c>
      <c r="E173" s="5" t="s">
        <v>165</v>
      </c>
      <c r="F173" s="5" t="s">
        <v>166</v>
      </c>
      <c r="G173" s="5" t="s">
        <v>167</v>
      </c>
      <c r="H173" s="5" t="s">
        <v>131</v>
      </c>
      <c r="I173" s="5" t="s">
        <v>132</v>
      </c>
      <c r="J173" s="5" t="s">
        <v>133</v>
      </c>
      <c r="K173" s="5" t="s">
        <v>200</v>
      </c>
      <c r="L173" s="6" t="n">
        <v>3.49</v>
      </c>
      <c r="M173" s="6" t="n">
        <v>0</v>
      </c>
      <c r="N173" s="6" t="n">
        <v>34.9</v>
      </c>
      <c r="O173" s="6" t="n">
        <v>9.95</v>
      </c>
      <c r="P173" s="6" t="n">
        <v>34.18</v>
      </c>
      <c r="Q173" s="6" t="n">
        <v>7.18</v>
      </c>
      <c r="R173" s="6" t="n">
        <f aca="false">P173+Q173</f>
        <v>41.36</v>
      </c>
      <c r="S173" s="6" t="n">
        <v>0</v>
      </c>
      <c r="T173" s="6" t="n">
        <v>14</v>
      </c>
      <c r="U173" s="6" t="n">
        <v>11.96</v>
      </c>
      <c r="V173" s="7" t="n">
        <f aca="false">IF(P173-(O173/1.21)=0,0,U173/(P173-(O173/1.21)))</f>
        <v>0.460764523462325</v>
      </c>
      <c r="W173" s="5" t="s">
        <v>145</v>
      </c>
      <c r="X173" s="5" t="s">
        <v>146</v>
      </c>
      <c r="Y173" s="5" t="s">
        <v>154</v>
      </c>
      <c r="Z173" s="11" t="n">
        <v>1</v>
      </c>
    </row>
    <row r="174" customFormat="false" ht="15" hidden="false" customHeight="false" outlineLevel="0" collapsed="false">
      <c r="A174" s="2" t="s">
        <v>372</v>
      </c>
      <c r="B174" s="8" t="n">
        <v>46039.7916666667</v>
      </c>
      <c r="C174" s="2" t="s">
        <v>138</v>
      </c>
      <c r="D174" s="2" t="s">
        <v>202</v>
      </c>
      <c r="E174" s="2" t="s">
        <v>203</v>
      </c>
      <c r="F174" s="2" t="s">
        <v>204</v>
      </c>
      <c r="G174" s="2" t="s">
        <v>205</v>
      </c>
      <c r="H174" s="2" t="s">
        <v>131</v>
      </c>
      <c r="I174" s="2" t="s">
        <v>132</v>
      </c>
      <c r="J174" s="2" t="s">
        <v>133</v>
      </c>
      <c r="K174" s="2"/>
      <c r="L174" s="3" t="n">
        <v>0</v>
      </c>
      <c r="M174" s="3" t="n">
        <v>2.5</v>
      </c>
      <c r="N174" s="3" t="n">
        <v>47.35</v>
      </c>
      <c r="O174" s="3" t="n">
        <v>9.95</v>
      </c>
      <c r="P174" s="3" t="n">
        <v>49.21</v>
      </c>
      <c r="Q174" s="3" t="n">
        <v>8.09</v>
      </c>
      <c r="R174" s="3" t="n">
        <f aca="false">P174+Q174</f>
        <v>57.3</v>
      </c>
      <c r="S174" s="3" t="n">
        <v>0</v>
      </c>
      <c r="T174" s="3" t="n">
        <v>20</v>
      </c>
      <c r="U174" s="3" t="n">
        <v>20.99</v>
      </c>
      <c r="V174" s="4" t="n">
        <f aca="false">IF(P174-(O174/1.21)=0,0,U174/(P174-(O174/1.21)))</f>
        <v>0.512115352431035</v>
      </c>
      <c r="W174" s="2" t="s">
        <v>153</v>
      </c>
      <c r="X174" s="2" t="s">
        <v>146</v>
      </c>
      <c r="Y174" s="2" t="s">
        <v>154</v>
      </c>
      <c r="Z174" s="9" t="n">
        <v>2</v>
      </c>
    </row>
    <row r="175" customFormat="false" ht="15" hidden="false" customHeight="false" outlineLevel="0" collapsed="false">
      <c r="A175" s="5" t="s">
        <v>373</v>
      </c>
      <c r="B175" s="10" t="n">
        <v>46040.5625</v>
      </c>
      <c r="C175" s="5" t="s">
        <v>138</v>
      </c>
      <c r="D175" s="5" t="s">
        <v>179</v>
      </c>
      <c r="E175" s="5" t="s">
        <v>180</v>
      </c>
      <c r="F175" s="5" t="s">
        <v>181</v>
      </c>
      <c r="G175" s="5" t="s">
        <v>182</v>
      </c>
      <c r="H175" s="5" t="s">
        <v>131</v>
      </c>
      <c r="I175" s="5" t="s">
        <v>132</v>
      </c>
      <c r="J175" s="5" t="s">
        <v>133</v>
      </c>
      <c r="K175" s="5"/>
      <c r="L175" s="6" t="n">
        <v>0</v>
      </c>
      <c r="M175" s="6" t="n">
        <v>0</v>
      </c>
      <c r="N175" s="6" t="n">
        <v>11.7</v>
      </c>
      <c r="O175" s="6" t="n">
        <v>4.95</v>
      </c>
      <c r="P175" s="6" t="n">
        <v>14.73</v>
      </c>
      <c r="Q175" s="6" t="n">
        <v>1.92</v>
      </c>
      <c r="R175" s="6" t="n">
        <f aca="false">P175+Q175</f>
        <v>16.65</v>
      </c>
      <c r="S175" s="6" t="n">
        <v>0</v>
      </c>
      <c r="T175" s="6" t="n">
        <v>7.5</v>
      </c>
      <c r="U175" s="6" t="n">
        <v>3.14</v>
      </c>
      <c r="V175" s="7" t="n">
        <f aca="false">IF(P175-(O175/1.21)=0,0,U175/(P175-(O175/1.21)))</f>
        <v>0.295137998803726</v>
      </c>
      <c r="W175" s="5" t="s">
        <v>153</v>
      </c>
      <c r="X175" s="5" t="s">
        <v>170</v>
      </c>
      <c r="Y175" s="5" t="s">
        <v>156</v>
      </c>
      <c r="Z175" s="11" t="n">
        <v>1</v>
      </c>
    </row>
    <row r="176" customFormat="false" ht="15" hidden="false" customHeight="false" outlineLevel="0" collapsed="false">
      <c r="A176" s="2" t="s">
        <v>374</v>
      </c>
      <c r="B176" s="8" t="n">
        <v>46040.8541666667</v>
      </c>
      <c r="C176" s="2" t="s">
        <v>138</v>
      </c>
      <c r="D176" s="2" t="s">
        <v>202</v>
      </c>
      <c r="E176" s="2" t="s">
        <v>203</v>
      </c>
      <c r="F176" s="2" t="s">
        <v>204</v>
      </c>
      <c r="G176" s="2" t="s">
        <v>205</v>
      </c>
      <c r="H176" s="2" t="s">
        <v>131</v>
      </c>
      <c r="I176" s="2" t="s">
        <v>132</v>
      </c>
      <c r="J176" s="2" t="s">
        <v>133</v>
      </c>
      <c r="K176" s="2" t="s">
        <v>200</v>
      </c>
      <c r="L176" s="3" t="n">
        <v>11.28</v>
      </c>
      <c r="M176" s="3" t="n">
        <v>0</v>
      </c>
      <c r="N176" s="3" t="n">
        <v>112.8</v>
      </c>
      <c r="O176" s="3" t="n">
        <v>9.95</v>
      </c>
      <c r="P176" s="3" t="n">
        <v>92.12</v>
      </c>
      <c r="Q176" s="3" t="n">
        <v>19.35</v>
      </c>
      <c r="R176" s="3" t="n">
        <f aca="false">P176+Q176</f>
        <v>111.47</v>
      </c>
      <c r="S176" s="3" t="n">
        <v>0</v>
      </c>
      <c r="T176" s="3" t="n">
        <v>56</v>
      </c>
      <c r="U176" s="3" t="n">
        <v>27.9</v>
      </c>
      <c r="V176" s="4" t="n">
        <f aca="false">IF(P176-(O176/1.21)=0,0,U176/(P176-(O176/1.21)))</f>
        <v>0.332551184453166</v>
      </c>
      <c r="W176" s="2" t="s">
        <v>169</v>
      </c>
      <c r="X176" s="2" t="s">
        <v>146</v>
      </c>
      <c r="Y176" s="2" t="s">
        <v>154</v>
      </c>
      <c r="Z176" s="9" t="n">
        <v>2</v>
      </c>
    </row>
    <row r="177" customFormat="false" ht="15" hidden="false" customHeight="false" outlineLevel="0" collapsed="false">
      <c r="A177" s="5" t="s">
        <v>375</v>
      </c>
      <c r="B177" s="10" t="n">
        <v>46041.40625</v>
      </c>
      <c r="C177" s="5" t="s">
        <v>126</v>
      </c>
      <c r="D177" s="5" t="s">
        <v>258</v>
      </c>
      <c r="E177" s="5" t="s">
        <v>259</v>
      </c>
      <c r="F177" s="5" t="s">
        <v>260</v>
      </c>
      <c r="G177" s="5" t="s">
        <v>261</v>
      </c>
      <c r="H177" s="5" t="s">
        <v>131</v>
      </c>
      <c r="I177" s="5" t="s">
        <v>132</v>
      </c>
      <c r="J177" s="5" t="s">
        <v>133</v>
      </c>
      <c r="K177" s="5" t="s">
        <v>144</v>
      </c>
      <c r="L177" s="6" t="n">
        <v>4.98</v>
      </c>
      <c r="M177" s="6" t="n">
        <v>0</v>
      </c>
      <c r="N177" s="6" t="n">
        <v>24.9</v>
      </c>
      <c r="O177" s="6" t="n">
        <v>9.95</v>
      </c>
      <c r="P177" s="6" t="n">
        <v>24.68</v>
      </c>
      <c r="Q177" s="6" t="n">
        <v>5.19</v>
      </c>
      <c r="R177" s="6" t="n">
        <f aca="false">P177+Q177</f>
        <v>29.87</v>
      </c>
      <c r="S177" s="6" t="n">
        <v>0</v>
      </c>
      <c r="T177" s="6" t="n">
        <v>9.8</v>
      </c>
      <c r="U177" s="6" t="n">
        <v>6.66</v>
      </c>
      <c r="V177" s="7" t="n">
        <f aca="false">IF(P177-(O177/1.21)=0,0,U177/(P177-(O177/1.21)))</f>
        <v>0.404694467879957</v>
      </c>
      <c r="W177" s="5" t="s">
        <v>153</v>
      </c>
      <c r="X177" s="5" t="s">
        <v>146</v>
      </c>
      <c r="Y177" s="5" t="s">
        <v>177</v>
      </c>
      <c r="Z177" s="11" t="n">
        <v>1</v>
      </c>
    </row>
    <row r="178" customFormat="false" ht="15" hidden="false" customHeight="false" outlineLevel="0" collapsed="false">
      <c r="A178" s="2" t="s">
        <v>376</v>
      </c>
      <c r="B178" s="8" t="n">
        <v>46046.7083333333</v>
      </c>
      <c r="C178" s="2" t="s">
        <v>138</v>
      </c>
      <c r="D178" s="2" t="s">
        <v>149</v>
      </c>
      <c r="E178" s="2" t="s">
        <v>150</v>
      </c>
      <c r="F178" s="2" t="s">
        <v>151</v>
      </c>
      <c r="G178" s="2" t="s">
        <v>152</v>
      </c>
      <c r="H178" s="2" t="s">
        <v>131</v>
      </c>
      <c r="I178" s="2" t="s">
        <v>132</v>
      </c>
      <c r="J178" s="2" t="s">
        <v>133</v>
      </c>
      <c r="K178" s="2" t="s">
        <v>186</v>
      </c>
      <c r="L178" s="3" t="n">
        <v>0</v>
      </c>
      <c r="M178" s="3" t="n">
        <v>0</v>
      </c>
      <c r="N178" s="3" t="n">
        <v>238</v>
      </c>
      <c r="O178" s="3" t="n">
        <v>0</v>
      </c>
      <c r="P178" s="3" t="n">
        <v>196.69</v>
      </c>
      <c r="Q178" s="3" t="n">
        <v>41.31</v>
      </c>
      <c r="R178" s="3" t="n">
        <f aca="false">P178+Q178</f>
        <v>238</v>
      </c>
      <c r="S178" s="3" t="n">
        <v>0</v>
      </c>
      <c r="T178" s="3" t="n">
        <v>110</v>
      </c>
      <c r="U178" s="3" t="n">
        <v>86.69</v>
      </c>
      <c r="V178" s="4" t="n">
        <f aca="false">IF(P178-(O178/1.21)=0,0,U178/(P178-(O178/1.21)))</f>
        <v>0.44074431847069</v>
      </c>
      <c r="W178" s="2" t="s">
        <v>134</v>
      </c>
      <c r="X178" s="2" t="s">
        <v>170</v>
      </c>
      <c r="Y178" s="2" t="s">
        <v>136</v>
      </c>
      <c r="Z178" s="9" t="n">
        <v>1</v>
      </c>
    </row>
    <row r="179" customFormat="false" ht="15" hidden="false" customHeight="false" outlineLevel="0" collapsed="false">
      <c r="A179" s="5" t="s">
        <v>377</v>
      </c>
      <c r="B179" s="10" t="n">
        <v>46046.7916666667</v>
      </c>
      <c r="C179" s="5" t="s">
        <v>138</v>
      </c>
      <c r="D179" s="5" t="s">
        <v>179</v>
      </c>
      <c r="E179" s="5" t="s">
        <v>180</v>
      </c>
      <c r="F179" s="5" t="s">
        <v>181</v>
      </c>
      <c r="G179" s="5" t="s">
        <v>182</v>
      </c>
      <c r="H179" s="5" t="s">
        <v>131</v>
      </c>
      <c r="I179" s="5" t="s">
        <v>176</v>
      </c>
      <c r="J179" s="5" t="s">
        <v>133</v>
      </c>
      <c r="K179" s="5"/>
      <c r="L179" s="6" t="n">
        <v>0</v>
      </c>
      <c r="M179" s="6" t="n">
        <v>57.8</v>
      </c>
      <c r="N179" s="6" t="n">
        <v>694.1</v>
      </c>
      <c r="O179" s="6" t="n">
        <v>4.95</v>
      </c>
      <c r="P179" s="6" t="n">
        <v>577.73</v>
      </c>
      <c r="Q179" s="6" t="n">
        <v>121.32</v>
      </c>
      <c r="R179" s="6" t="n">
        <f aca="false">P179+Q179</f>
        <v>699.05</v>
      </c>
      <c r="S179" s="6" t="n">
        <v>139</v>
      </c>
      <c r="T179" s="6" t="n">
        <v>356</v>
      </c>
      <c r="U179" s="6" t="n">
        <v>217.64</v>
      </c>
      <c r="V179" s="7" t="n">
        <f aca="false">IF(P179-(O179/1.21)=0,0,U179/(P179-(O179/1.21)))</f>
        <v>0.379402316629239</v>
      </c>
      <c r="W179" s="5" t="s">
        <v>162</v>
      </c>
      <c r="X179" s="5" t="s">
        <v>170</v>
      </c>
      <c r="Y179" s="5" t="s">
        <v>177</v>
      </c>
      <c r="Z179" s="11" t="n">
        <v>3</v>
      </c>
    </row>
    <row r="180" customFormat="false" ht="15" hidden="false" customHeight="false" outlineLevel="0" collapsed="false">
      <c r="A180" s="2" t="s">
        <v>378</v>
      </c>
      <c r="B180" s="8" t="n">
        <v>46048.3854166667</v>
      </c>
      <c r="C180" s="2" t="s">
        <v>138</v>
      </c>
      <c r="D180" s="2" t="s">
        <v>158</v>
      </c>
      <c r="E180" s="2" t="s">
        <v>159</v>
      </c>
      <c r="F180" s="2" t="s">
        <v>160</v>
      </c>
      <c r="G180" s="2" t="s">
        <v>161</v>
      </c>
      <c r="H180" s="2" t="s">
        <v>131</v>
      </c>
      <c r="I180" s="2" t="s">
        <v>132</v>
      </c>
      <c r="J180" s="2" t="s">
        <v>133</v>
      </c>
      <c r="K180" s="2"/>
      <c r="L180" s="3" t="n">
        <v>0</v>
      </c>
      <c r="M180" s="3" t="n">
        <v>805.22</v>
      </c>
      <c r="N180" s="3" t="n">
        <v>2451.56</v>
      </c>
      <c r="O180" s="3" t="n">
        <v>0</v>
      </c>
      <c r="P180" s="3" t="n">
        <v>2027.41</v>
      </c>
      <c r="Q180" s="3" t="n">
        <v>424.15</v>
      </c>
      <c r="R180" s="3" t="n">
        <f aca="false">P180+Q180</f>
        <v>2451.56</v>
      </c>
      <c r="S180" s="3" t="n">
        <v>0</v>
      </c>
      <c r="T180" s="3" t="n">
        <v>2223.6</v>
      </c>
      <c r="U180" s="3" t="n">
        <v>-196.19</v>
      </c>
      <c r="V180" s="4" t="n">
        <f aca="false">IF(P180-(O180/1.21)=0,0,U180/(P180-(O180/1.21)))</f>
        <v>-0.0967687838177774</v>
      </c>
      <c r="W180" s="2" t="s">
        <v>162</v>
      </c>
      <c r="X180" s="2" t="s">
        <v>135</v>
      </c>
      <c r="Y180" s="2" t="s">
        <v>177</v>
      </c>
      <c r="Z180" s="9" t="n">
        <v>4</v>
      </c>
    </row>
    <row r="181" customFormat="false" ht="15" hidden="false" customHeight="false" outlineLevel="0" collapsed="false">
      <c r="A181" s="5" t="s">
        <v>379</v>
      </c>
      <c r="B181" s="10" t="n">
        <v>46048.8854166667</v>
      </c>
      <c r="C181" s="5" t="s">
        <v>148</v>
      </c>
      <c r="D181" s="5" t="s">
        <v>188</v>
      </c>
      <c r="E181" s="5" t="s">
        <v>189</v>
      </c>
      <c r="F181" s="5" t="s">
        <v>190</v>
      </c>
      <c r="G181" s="5" t="s">
        <v>191</v>
      </c>
      <c r="H181" s="5" t="s">
        <v>131</v>
      </c>
      <c r="I181" s="5" t="s">
        <v>132</v>
      </c>
      <c r="J181" s="5" t="s">
        <v>133</v>
      </c>
      <c r="K181" s="5"/>
      <c r="L181" s="6" t="n">
        <v>0</v>
      </c>
      <c r="M181" s="6" t="n">
        <v>2.58</v>
      </c>
      <c r="N181" s="6" t="n">
        <v>203.02</v>
      </c>
      <c r="O181" s="6" t="n">
        <v>4.95</v>
      </c>
      <c r="P181" s="6" t="n">
        <v>171.88</v>
      </c>
      <c r="Q181" s="6" t="n">
        <v>36.09</v>
      </c>
      <c r="R181" s="6" t="n">
        <f aca="false">P181+Q181</f>
        <v>207.97</v>
      </c>
      <c r="S181" s="6" t="n">
        <v>0</v>
      </c>
      <c r="T181" s="6" t="n">
        <v>100.2</v>
      </c>
      <c r="U181" s="6" t="n">
        <v>67.59</v>
      </c>
      <c r="V181" s="7" t="n">
        <f aca="false">IF(P181-(O181/1.21)=0,0,U181/(P181-(O181/1.21)))</f>
        <v>0.402827142299857</v>
      </c>
      <c r="W181" s="5" t="s">
        <v>162</v>
      </c>
      <c r="X181" s="5" t="s">
        <v>170</v>
      </c>
      <c r="Y181" s="5" t="s">
        <v>154</v>
      </c>
      <c r="Z181" s="11" t="n">
        <v>2</v>
      </c>
    </row>
    <row r="182" customFormat="false" ht="15" hidden="false" customHeight="false" outlineLevel="0" collapsed="false">
      <c r="A182" s="2" t="s">
        <v>380</v>
      </c>
      <c r="B182" s="8" t="n">
        <v>46049.5833333333</v>
      </c>
      <c r="C182" s="2" t="s">
        <v>138</v>
      </c>
      <c r="D182" s="2" t="s">
        <v>223</v>
      </c>
      <c r="E182" s="2" t="s">
        <v>224</v>
      </c>
      <c r="F182" s="2" t="s">
        <v>225</v>
      </c>
      <c r="G182" s="2" t="s">
        <v>226</v>
      </c>
      <c r="H182" s="2" t="s">
        <v>131</v>
      </c>
      <c r="I182" s="2" t="s">
        <v>132</v>
      </c>
      <c r="J182" s="2" t="s">
        <v>133</v>
      </c>
      <c r="K182" s="2"/>
      <c r="L182" s="3" t="n">
        <v>0</v>
      </c>
      <c r="M182" s="3" t="n">
        <v>2.74</v>
      </c>
      <c r="N182" s="3" t="n">
        <v>111.86</v>
      </c>
      <c r="O182" s="3" t="n">
        <v>4.95</v>
      </c>
      <c r="P182" s="3" t="n">
        <v>96.54</v>
      </c>
      <c r="Q182" s="3" t="n">
        <v>20.27</v>
      </c>
      <c r="R182" s="3" t="n">
        <f aca="false">P182+Q182</f>
        <v>116.81</v>
      </c>
      <c r="S182" s="3" t="n">
        <v>0</v>
      </c>
      <c r="T182" s="3" t="n">
        <v>45.7</v>
      </c>
      <c r="U182" s="3" t="n">
        <v>46.75</v>
      </c>
      <c r="V182" s="4" t="n">
        <f aca="false">IF(P182-(O182/1.21)=0,0,U182/(P182-(O182/1.21)))</f>
        <v>0.505683717820127</v>
      </c>
      <c r="W182" s="2" t="s">
        <v>134</v>
      </c>
      <c r="X182" s="2" t="s">
        <v>170</v>
      </c>
      <c r="Y182" s="2" t="s">
        <v>154</v>
      </c>
      <c r="Z182" s="9" t="n">
        <v>2</v>
      </c>
    </row>
    <row r="183" customFormat="false" ht="15" hidden="false" customHeight="false" outlineLevel="0" collapsed="false">
      <c r="A183" s="5" t="s">
        <v>381</v>
      </c>
      <c r="B183" s="10" t="n">
        <v>46050.78125</v>
      </c>
      <c r="C183" s="5" t="s">
        <v>138</v>
      </c>
      <c r="D183" s="5" t="s">
        <v>164</v>
      </c>
      <c r="E183" s="5" t="s">
        <v>165</v>
      </c>
      <c r="F183" s="5" t="s">
        <v>166</v>
      </c>
      <c r="G183" s="5" t="s">
        <v>167</v>
      </c>
      <c r="H183" s="5" t="s">
        <v>131</v>
      </c>
      <c r="I183" s="5" t="s">
        <v>132</v>
      </c>
      <c r="J183" s="5" t="s">
        <v>133</v>
      </c>
      <c r="K183" s="5" t="s">
        <v>144</v>
      </c>
      <c r="L183" s="6" t="n">
        <v>4.23</v>
      </c>
      <c r="M183" s="6" t="n">
        <v>3.74</v>
      </c>
      <c r="N183" s="6" t="n">
        <v>21.16</v>
      </c>
      <c r="O183" s="6" t="n">
        <v>4.95</v>
      </c>
      <c r="P183" s="6" t="n">
        <v>18.08</v>
      </c>
      <c r="Q183" s="6" t="n">
        <v>3.8</v>
      </c>
      <c r="R183" s="6" t="n">
        <f aca="false">P183+Q183</f>
        <v>21.88</v>
      </c>
      <c r="S183" s="6" t="n">
        <v>0</v>
      </c>
      <c r="T183" s="6" t="n">
        <v>9.8</v>
      </c>
      <c r="U183" s="6" t="n">
        <v>4.19</v>
      </c>
      <c r="V183" s="7" t="n">
        <f aca="false">IF(P183-(O183/1.21)=0,0,U183/(P183-(O183/1.21)))</f>
        <v>0.299519105796725</v>
      </c>
      <c r="W183" s="5" t="s">
        <v>134</v>
      </c>
      <c r="X183" s="5" t="s">
        <v>170</v>
      </c>
      <c r="Y183" s="5" t="s">
        <v>136</v>
      </c>
      <c r="Z183" s="11" t="n">
        <v>1</v>
      </c>
    </row>
    <row r="184" customFormat="false" ht="15" hidden="false" customHeight="false" outlineLevel="0" collapsed="false">
      <c r="A184" s="2" t="s">
        <v>382</v>
      </c>
      <c r="B184" s="8" t="n">
        <v>46050.8541666667</v>
      </c>
      <c r="C184" s="2" t="s">
        <v>138</v>
      </c>
      <c r="D184" s="2" t="s">
        <v>173</v>
      </c>
      <c r="E184" s="2" t="s">
        <v>174</v>
      </c>
      <c r="F184" s="2" t="s">
        <v>175</v>
      </c>
      <c r="G184" s="2" t="s">
        <v>161</v>
      </c>
      <c r="H184" s="2" t="s">
        <v>131</v>
      </c>
      <c r="I184" s="2" t="s">
        <v>132</v>
      </c>
      <c r="J184" s="2" t="s">
        <v>133</v>
      </c>
      <c r="K184" s="2"/>
      <c r="L184" s="3" t="n">
        <v>0</v>
      </c>
      <c r="M184" s="3" t="n">
        <v>1.56</v>
      </c>
      <c r="N184" s="3" t="n">
        <v>32.13</v>
      </c>
      <c r="O184" s="3" t="n">
        <v>9.95</v>
      </c>
      <c r="P184" s="3" t="n">
        <v>37.43</v>
      </c>
      <c r="Q184" s="3" t="n">
        <v>4.65</v>
      </c>
      <c r="R184" s="3" t="n">
        <f aca="false">P184+Q184</f>
        <v>42.08</v>
      </c>
      <c r="S184" s="3" t="n">
        <v>0</v>
      </c>
      <c r="T184" s="3" t="n">
        <v>21.5</v>
      </c>
      <c r="U184" s="3" t="n">
        <v>7.71</v>
      </c>
      <c r="V184" s="4" t="n">
        <f aca="false">IF(P184-(O184/1.21)=0,0,U184/(P184-(O184/1.21)))</f>
        <v>0.263979083369411</v>
      </c>
      <c r="W184" s="2" t="s">
        <v>153</v>
      </c>
      <c r="X184" s="2" t="s">
        <v>146</v>
      </c>
      <c r="Y184" s="2" t="s">
        <v>156</v>
      </c>
      <c r="Z184" s="9" t="n">
        <v>2</v>
      </c>
    </row>
    <row r="185" customFormat="false" ht="15" hidden="false" customHeight="false" outlineLevel="0" collapsed="false">
      <c r="A185" s="5" t="s">
        <v>383</v>
      </c>
      <c r="B185" s="10" t="n">
        <v>46051.3854166667</v>
      </c>
      <c r="C185" s="5" t="s">
        <v>126</v>
      </c>
      <c r="D185" s="5" t="s">
        <v>139</v>
      </c>
      <c r="E185" s="5" t="s">
        <v>140</v>
      </c>
      <c r="F185" s="5" t="s">
        <v>141</v>
      </c>
      <c r="G185" s="5" t="s">
        <v>142</v>
      </c>
      <c r="H185" s="5" t="s">
        <v>143</v>
      </c>
      <c r="I185" s="5" t="s">
        <v>132</v>
      </c>
      <c r="J185" s="5" t="s">
        <v>133</v>
      </c>
      <c r="K185" s="5" t="s">
        <v>168</v>
      </c>
      <c r="L185" s="6" t="n">
        <v>19.47</v>
      </c>
      <c r="M185" s="6" t="n">
        <v>0</v>
      </c>
      <c r="N185" s="6" t="n">
        <v>129.8</v>
      </c>
      <c r="O185" s="6" t="n">
        <v>0</v>
      </c>
      <c r="P185" s="6" t="n">
        <v>91.18</v>
      </c>
      <c r="Q185" s="6" t="n">
        <v>19.15</v>
      </c>
      <c r="R185" s="6" t="n">
        <f aca="false">P185+Q185</f>
        <v>110.33</v>
      </c>
      <c r="S185" s="6" t="n">
        <v>0</v>
      </c>
      <c r="T185" s="6" t="n">
        <v>56</v>
      </c>
      <c r="U185" s="6" t="n">
        <v>35.18</v>
      </c>
      <c r="V185" s="7" t="n">
        <f aca="false">IF(P185-(O185/1.21)=0,0,U185/(P185-(O185/1.21)))</f>
        <v>0.385830225926738</v>
      </c>
      <c r="W185" s="5" t="s">
        <v>145</v>
      </c>
      <c r="X185" s="5" t="s">
        <v>135</v>
      </c>
      <c r="Y185" s="5" t="s">
        <v>136</v>
      </c>
      <c r="Z185" s="11" t="n">
        <v>1</v>
      </c>
    </row>
    <row r="186" customFormat="false" ht="15" hidden="false" customHeight="false" outlineLevel="0" collapsed="false">
      <c r="A186" s="2" t="s">
        <v>384</v>
      </c>
      <c r="B186" s="8" t="n">
        <v>46053.6145833333</v>
      </c>
      <c r="C186" s="2" t="s">
        <v>148</v>
      </c>
      <c r="D186" s="2" t="s">
        <v>127</v>
      </c>
      <c r="E186" s="2" t="s">
        <v>128</v>
      </c>
      <c r="F186" s="2" t="s">
        <v>129</v>
      </c>
      <c r="G186" s="2" t="s">
        <v>130</v>
      </c>
      <c r="H186" s="2" t="s">
        <v>131</v>
      </c>
      <c r="I186" s="2" t="s">
        <v>132</v>
      </c>
      <c r="J186" s="2" t="s">
        <v>133</v>
      </c>
      <c r="K186" s="2"/>
      <c r="L186" s="3" t="n">
        <v>0</v>
      </c>
      <c r="M186" s="3" t="n">
        <v>13.48</v>
      </c>
      <c r="N186" s="3" t="n">
        <v>256.22</v>
      </c>
      <c r="O186" s="3" t="n">
        <v>9.95</v>
      </c>
      <c r="P186" s="3" t="n">
        <v>219.97</v>
      </c>
      <c r="Q186" s="3" t="n">
        <v>46.2</v>
      </c>
      <c r="R186" s="3" t="n">
        <f aca="false">P186+Q186</f>
        <v>266.17</v>
      </c>
      <c r="S186" s="3" t="n">
        <v>0</v>
      </c>
      <c r="T186" s="3" t="n">
        <v>144</v>
      </c>
      <c r="U186" s="3" t="n">
        <v>67.75</v>
      </c>
      <c r="V186" s="4" t="n">
        <f aca="false">IF(P186-(O186/1.21)=0,0,U186/(P186-(O186/1.21)))</f>
        <v>0.319957519835981</v>
      </c>
      <c r="W186" s="2" t="s">
        <v>153</v>
      </c>
      <c r="X186" s="2" t="s">
        <v>146</v>
      </c>
      <c r="Y186" s="2" t="s">
        <v>154</v>
      </c>
      <c r="Z186" s="9" t="n">
        <v>1</v>
      </c>
    </row>
    <row r="187" customFormat="false" ht="15" hidden="false" customHeight="false" outlineLevel="0" collapsed="false">
      <c r="A187" s="5" t="s">
        <v>385</v>
      </c>
      <c r="B187" s="10" t="n">
        <v>46053.6458333333</v>
      </c>
      <c r="C187" s="5" t="s">
        <v>193</v>
      </c>
      <c r="D187" s="5" t="s">
        <v>158</v>
      </c>
      <c r="E187" s="5" t="s">
        <v>159</v>
      </c>
      <c r="F187" s="5" t="s">
        <v>160</v>
      </c>
      <c r="G187" s="5" t="s">
        <v>161</v>
      </c>
      <c r="H187" s="5" t="s">
        <v>131</v>
      </c>
      <c r="I187" s="5" t="s">
        <v>132</v>
      </c>
      <c r="J187" s="5" t="s">
        <v>133</v>
      </c>
      <c r="K187" s="5" t="s">
        <v>200</v>
      </c>
      <c r="L187" s="6" t="n">
        <v>4.49</v>
      </c>
      <c r="M187" s="6" t="n">
        <v>0</v>
      </c>
      <c r="N187" s="6" t="n">
        <v>44.9</v>
      </c>
      <c r="O187" s="6" t="n">
        <v>0</v>
      </c>
      <c r="P187" s="6" t="n">
        <v>33.4</v>
      </c>
      <c r="Q187" s="6" t="n">
        <v>7.01</v>
      </c>
      <c r="R187" s="6" t="n">
        <f aca="false">P187+Q187</f>
        <v>40.41</v>
      </c>
      <c r="S187" s="6" t="n">
        <v>0</v>
      </c>
      <c r="T187" s="6" t="n">
        <v>19</v>
      </c>
      <c r="U187" s="6" t="n">
        <v>14.4</v>
      </c>
      <c r="V187" s="7" t="n">
        <f aca="false">IF(P187-(O187/1.21)=0,0,U187/(P187-(O187/1.21)))</f>
        <v>0.431137724550898</v>
      </c>
      <c r="W187" s="5" t="s">
        <v>145</v>
      </c>
      <c r="X187" s="5" t="s">
        <v>135</v>
      </c>
      <c r="Y187" s="5" t="s">
        <v>154</v>
      </c>
      <c r="Z187" s="11" t="n">
        <v>1</v>
      </c>
    </row>
    <row r="188" customFormat="false" ht="15" hidden="false" customHeight="false" outlineLevel="0" collapsed="false">
      <c r="A188" s="2" t="s">
        <v>386</v>
      </c>
      <c r="B188" s="8" t="n">
        <v>46053.7083333333</v>
      </c>
      <c r="C188" s="2" t="s">
        <v>148</v>
      </c>
      <c r="D188" s="2" t="s">
        <v>188</v>
      </c>
      <c r="E188" s="2" t="s">
        <v>189</v>
      </c>
      <c r="F188" s="2" t="s">
        <v>190</v>
      </c>
      <c r="G188" s="2" t="s">
        <v>191</v>
      </c>
      <c r="H188" s="2" t="s">
        <v>131</v>
      </c>
      <c r="I188" s="2" t="s">
        <v>176</v>
      </c>
      <c r="J188" s="2" t="s">
        <v>133</v>
      </c>
      <c r="K188" s="2" t="s">
        <v>200</v>
      </c>
      <c r="L188" s="3" t="n">
        <v>17.98</v>
      </c>
      <c r="M188" s="3" t="n">
        <v>0</v>
      </c>
      <c r="N188" s="3" t="n">
        <v>179.8</v>
      </c>
      <c r="O188" s="3" t="n">
        <v>0</v>
      </c>
      <c r="P188" s="3" t="n">
        <v>133.74</v>
      </c>
      <c r="Q188" s="3" t="n">
        <v>28.08</v>
      </c>
      <c r="R188" s="3" t="n">
        <f aca="false">P188+Q188</f>
        <v>161.82</v>
      </c>
      <c r="S188" s="3" t="n">
        <v>161.82</v>
      </c>
      <c r="T188" s="3" t="n">
        <v>96</v>
      </c>
      <c r="U188" s="3" t="n">
        <v>37.74</v>
      </c>
      <c r="V188" s="4" t="n">
        <f aca="false">IF(P188-(O188/1.21)=0,0,U188/(P188-(O188/1.21)))</f>
        <v>0.282189322566173</v>
      </c>
      <c r="W188" s="2" t="s">
        <v>134</v>
      </c>
      <c r="X188" s="2" t="s">
        <v>135</v>
      </c>
      <c r="Y188" s="2" t="s">
        <v>156</v>
      </c>
      <c r="Z188" s="9" t="n">
        <v>1</v>
      </c>
    </row>
    <row r="189" customFormat="false" ht="15" hidden="false" customHeight="false" outlineLevel="0" collapsed="false">
      <c r="A189" s="5" t="s">
        <v>387</v>
      </c>
      <c r="B189" s="10" t="n">
        <v>46056.875</v>
      </c>
      <c r="C189" s="5" t="s">
        <v>138</v>
      </c>
      <c r="D189" s="5" t="s">
        <v>223</v>
      </c>
      <c r="E189" s="5" t="s">
        <v>224</v>
      </c>
      <c r="F189" s="5" t="s">
        <v>225</v>
      </c>
      <c r="G189" s="5" t="s">
        <v>226</v>
      </c>
      <c r="H189" s="5" t="s">
        <v>131</v>
      </c>
      <c r="I189" s="5" t="s">
        <v>132</v>
      </c>
      <c r="J189" s="5" t="s">
        <v>133</v>
      </c>
      <c r="K189" s="5"/>
      <c r="L189" s="6" t="n">
        <v>0</v>
      </c>
      <c r="M189" s="6" t="n">
        <v>0</v>
      </c>
      <c r="N189" s="6" t="n">
        <v>15.98</v>
      </c>
      <c r="O189" s="6" t="n">
        <v>4.95</v>
      </c>
      <c r="P189" s="6" t="n">
        <v>18.62</v>
      </c>
      <c r="Q189" s="6" t="n">
        <v>2.31</v>
      </c>
      <c r="R189" s="6" t="n">
        <f aca="false">P189+Q189</f>
        <v>20.93</v>
      </c>
      <c r="S189" s="6" t="n">
        <v>0</v>
      </c>
      <c r="T189" s="6" t="n">
        <v>6.8</v>
      </c>
      <c r="U189" s="6" t="n">
        <v>7.73</v>
      </c>
      <c r="V189" s="7" t="n">
        <f aca="false">IF(P189-(O189/1.21)=0,0,U189/(P189-(O189/1.21)))</f>
        <v>0.532036040545614</v>
      </c>
      <c r="W189" s="5" t="s">
        <v>162</v>
      </c>
      <c r="X189" s="5" t="s">
        <v>170</v>
      </c>
      <c r="Y189" s="5" t="s">
        <v>136</v>
      </c>
      <c r="Z189" s="11" t="n">
        <v>1</v>
      </c>
    </row>
    <row r="190" customFormat="false" ht="15" hidden="false" customHeight="false" outlineLevel="0" collapsed="false">
      <c r="A190" s="2" t="s">
        <v>388</v>
      </c>
      <c r="B190" s="8" t="n">
        <v>46058.4375</v>
      </c>
      <c r="C190" s="2" t="s">
        <v>148</v>
      </c>
      <c r="D190" s="2" t="s">
        <v>217</v>
      </c>
      <c r="E190" s="2" t="s">
        <v>218</v>
      </c>
      <c r="F190" s="2" t="s">
        <v>219</v>
      </c>
      <c r="G190" s="2" t="s">
        <v>220</v>
      </c>
      <c r="H190" s="2" t="s">
        <v>131</v>
      </c>
      <c r="I190" s="2" t="s">
        <v>132</v>
      </c>
      <c r="J190" s="2" t="s">
        <v>133</v>
      </c>
      <c r="K190" s="2" t="s">
        <v>168</v>
      </c>
      <c r="L190" s="3" t="n">
        <v>0.45</v>
      </c>
      <c r="M190" s="3" t="n">
        <v>0</v>
      </c>
      <c r="N190" s="3" t="n">
        <v>2.99</v>
      </c>
      <c r="O190" s="3" t="n">
        <v>4.95</v>
      </c>
      <c r="P190" s="3" t="n">
        <v>6.4</v>
      </c>
      <c r="Q190" s="3" t="n">
        <v>1.09</v>
      </c>
      <c r="R190" s="3" t="n">
        <f aca="false">P190+Q190</f>
        <v>7.49</v>
      </c>
      <c r="S190" s="3" t="n">
        <v>0</v>
      </c>
      <c r="T190" s="3" t="n">
        <v>1.2</v>
      </c>
      <c r="U190" s="3" t="n">
        <v>1.11</v>
      </c>
      <c r="V190" s="4" t="n">
        <f aca="false">IF(P190-(O190/1.21)=0,0,U190/(P190-(O190/1.21)))</f>
        <v>0.480708661417323</v>
      </c>
      <c r="W190" s="2" t="s">
        <v>145</v>
      </c>
      <c r="X190" s="2" t="s">
        <v>170</v>
      </c>
      <c r="Y190" s="2" t="s">
        <v>154</v>
      </c>
      <c r="Z190" s="9" t="n">
        <v>1</v>
      </c>
    </row>
    <row r="191" customFormat="false" ht="15" hidden="false" customHeight="false" outlineLevel="0" collapsed="false">
      <c r="A191" s="5" t="s">
        <v>389</v>
      </c>
      <c r="B191" s="10" t="n">
        <v>46059.6145833333</v>
      </c>
      <c r="C191" s="5" t="s">
        <v>126</v>
      </c>
      <c r="D191" s="5" t="s">
        <v>127</v>
      </c>
      <c r="E191" s="5" t="s">
        <v>128</v>
      </c>
      <c r="F191" s="5" t="s">
        <v>129</v>
      </c>
      <c r="G191" s="5" t="s">
        <v>130</v>
      </c>
      <c r="H191" s="5" t="s">
        <v>131</v>
      </c>
      <c r="I191" s="5" t="s">
        <v>132</v>
      </c>
      <c r="J191" s="5" t="s">
        <v>133</v>
      </c>
      <c r="K191" s="5"/>
      <c r="L191" s="6" t="n">
        <v>0</v>
      </c>
      <c r="M191" s="6" t="n">
        <v>0</v>
      </c>
      <c r="N191" s="6" t="n">
        <v>238</v>
      </c>
      <c r="O191" s="6" t="n">
        <v>0</v>
      </c>
      <c r="P191" s="6" t="n">
        <v>196.69</v>
      </c>
      <c r="Q191" s="6" t="n">
        <v>41.31</v>
      </c>
      <c r="R191" s="6" t="n">
        <f aca="false">P191+Q191</f>
        <v>238</v>
      </c>
      <c r="S191" s="6" t="n">
        <v>0</v>
      </c>
      <c r="T191" s="6" t="n">
        <v>110</v>
      </c>
      <c r="U191" s="6" t="n">
        <v>86.69</v>
      </c>
      <c r="V191" s="7" t="n">
        <f aca="false">IF(P191-(O191/1.21)=0,0,U191/(P191-(O191/1.21)))</f>
        <v>0.44074431847069</v>
      </c>
      <c r="W191" s="5" t="s">
        <v>153</v>
      </c>
      <c r="X191" s="5" t="s">
        <v>135</v>
      </c>
      <c r="Y191" s="5" t="s">
        <v>177</v>
      </c>
      <c r="Z191" s="11" t="n">
        <v>1</v>
      </c>
    </row>
    <row r="192" customFormat="false" ht="15" hidden="false" customHeight="false" outlineLevel="0" collapsed="false">
      <c r="A192" s="2" t="s">
        <v>390</v>
      </c>
      <c r="B192" s="8" t="n">
        <v>46060.4895833333</v>
      </c>
      <c r="C192" s="2" t="s">
        <v>138</v>
      </c>
      <c r="D192" s="2" t="s">
        <v>173</v>
      </c>
      <c r="E192" s="2" t="s">
        <v>174</v>
      </c>
      <c r="F192" s="2" t="s">
        <v>175</v>
      </c>
      <c r="G192" s="2" t="s">
        <v>161</v>
      </c>
      <c r="H192" s="2" t="s">
        <v>131</v>
      </c>
      <c r="I192" s="2" t="s">
        <v>185</v>
      </c>
      <c r="J192" s="2" t="s">
        <v>185</v>
      </c>
      <c r="K192" s="2"/>
      <c r="L192" s="3" t="n">
        <v>0</v>
      </c>
      <c r="M192" s="3" t="n">
        <v>79.9</v>
      </c>
      <c r="N192" s="3" t="n">
        <v>719.1</v>
      </c>
      <c r="O192" s="3" t="n">
        <v>9.95</v>
      </c>
      <c r="P192" s="3" t="n">
        <v>602.52</v>
      </c>
      <c r="Q192" s="3" t="n">
        <v>126.53</v>
      </c>
      <c r="R192" s="3" t="n">
        <f aca="false">P192+Q192</f>
        <v>729.05</v>
      </c>
      <c r="S192" s="3" t="n">
        <v>0</v>
      </c>
      <c r="T192" s="3" t="n">
        <v>550</v>
      </c>
      <c r="U192" s="3" t="n">
        <v>44.3</v>
      </c>
      <c r="V192" s="4" t="n">
        <f aca="false">IF(P192-(O192/1.21)=0,0,U192/(P192-(O192/1.21)))</f>
        <v>0.0745418712745057</v>
      </c>
      <c r="W192" s="2" t="s">
        <v>134</v>
      </c>
      <c r="X192" s="2" t="s">
        <v>146</v>
      </c>
      <c r="Y192" s="2" t="s">
        <v>154</v>
      </c>
      <c r="Z192" s="9" t="n">
        <v>1</v>
      </c>
    </row>
    <row r="193" customFormat="false" ht="15" hidden="false" customHeight="false" outlineLevel="0" collapsed="false">
      <c r="A193" s="5" t="s">
        <v>391</v>
      </c>
      <c r="B193" s="10" t="n">
        <v>46060.90625</v>
      </c>
      <c r="C193" s="5" t="s">
        <v>126</v>
      </c>
      <c r="D193" s="5" t="s">
        <v>158</v>
      </c>
      <c r="E193" s="5" t="s">
        <v>159</v>
      </c>
      <c r="F193" s="5" t="s">
        <v>160</v>
      </c>
      <c r="G193" s="5" t="s">
        <v>161</v>
      </c>
      <c r="H193" s="5" t="s">
        <v>131</v>
      </c>
      <c r="I193" s="5" t="s">
        <v>132</v>
      </c>
      <c r="J193" s="5" t="s">
        <v>133</v>
      </c>
      <c r="K193" s="5" t="s">
        <v>200</v>
      </c>
      <c r="L193" s="6" t="n">
        <v>4.49</v>
      </c>
      <c r="M193" s="6" t="n">
        <v>0</v>
      </c>
      <c r="N193" s="6" t="n">
        <v>44.9</v>
      </c>
      <c r="O193" s="6" t="n">
        <v>4.95</v>
      </c>
      <c r="P193" s="6" t="n">
        <v>37.49</v>
      </c>
      <c r="Q193" s="6" t="n">
        <v>7.87</v>
      </c>
      <c r="R193" s="6" t="n">
        <f aca="false">P193+Q193</f>
        <v>45.36</v>
      </c>
      <c r="S193" s="6" t="n">
        <v>0</v>
      </c>
      <c r="T193" s="6" t="n">
        <v>19</v>
      </c>
      <c r="U193" s="6" t="n">
        <v>14.4</v>
      </c>
      <c r="V193" s="7" t="n">
        <f aca="false">IF(P193-(O193/1.21)=0,0,U193/(P193-(O193/1.21)))</f>
        <v>0.431149459702224</v>
      </c>
      <c r="W193" s="5" t="s">
        <v>153</v>
      </c>
      <c r="X193" s="5" t="s">
        <v>170</v>
      </c>
      <c r="Y193" s="5" t="s">
        <v>156</v>
      </c>
      <c r="Z193" s="11" t="n">
        <v>1</v>
      </c>
    </row>
    <row r="194" customFormat="false" ht="15" hidden="false" customHeight="false" outlineLevel="0" collapsed="false">
      <c r="A194" s="2" t="s">
        <v>392</v>
      </c>
      <c r="B194" s="8" t="n">
        <v>46061.8541666667</v>
      </c>
      <c r="C194" s="2" t="s">
        <v>148</v>
      </c>
      <c r="D194" s="2" t="s">
        <v>217</v>
      </c>
      <c r="E194" s="2" t="s">
        <v>218</v>
      </c>
      <c r="F194" s="2" t="s">
        <v>219</v>
      </c>
      <c r="G194" s="2" t="s">
        <v>220</v>
      </c>
      <c r="H194" s="2" t="s">
        <v>131</v>
      </c>
      <c r="I194" s="2" t="s">
        <v>132</v>
      </c>
      <c r="J194" s="2" t="s">
        <v>133</v>
      </c>
      <c r="K194" s="2" t="s">
        <v>186</v>
      </c>
      <c r="L194" s="3" t="n">
        <v>0</v>
      </c>
      <c r="M194" s="3" t="n">
        <v>0</v>
      </c>
      <c r="N194" s="3" t="n">
        <v>47.79</v>
      </c>
      <c r="O194" s="3" t="n">
        <v>0</v>
      </c>
      <c r="P194" s="3" t="n">
        <v>40.15</v>
      </c>
      <c r="Q194" s="3" t="n">
        <v>7.64</v>
      </c>
      <c r="R194" s="3" t="n">
        <f aca="false">P194+Q194</f>
        <v>47.79</v>
      </c>
      <c r="S194" s="3" t="n">
        <v>0</v>
      </c>
      <c r="T194" s="3" t="n">
        <v>19.2</v>
      </c>
      <c r="U194" s="3" t="n">
        <v>20.95</v>
      </c>
      <c r="V194" s="4" t="n">
        <f aca="false">IF(P194-(O194/1.21)=0,0,U194/(P194-(O194/1.21)))</f>
        <v>0.521793275217933</v>
      </c>
      <c r="W194" s="2" t="s">
        <v>153</v>
      </c>
      <c r="X194" s="2" t="s">
        <v>170</v>
      </c>
      <c r="Y194" s="2" t="s">
        <v>177</v>
      </c>
      <c r="Z194" s="9" t="n">
        <v>2</v>
      </c>
    </row>
    <row r="195" customFormat="false" ht="15" hidden="false" customHeight="false" outlineLevel="0" collapsed="false">
      <c r="A195" s="5" t="s">
        <v>393</v>
      </c>
      <c r="B195" s="10" t="n">
        <v>46062.8854166667</v>
      </c>
      <c r="C195" s="5" t="s">
        <v>138</v>
      </c>
      <c r="D195" s="5" t="s">
        <v>158</v>
      </c>
      <c r="E195" s="5" t="s">
        <v>159</v>
      </c>
      <c r="F195" s="5" t="s">
        <v>160</v>
      </c>
      <c r="G195" s="5" t="s">
        <v>161</v>
      </c>
      <c r="H195" s="5" t="s">
        <v>131</v>
      </c>
      <c r="I195" s="5" t="s">
        <v>185</v>
      </c>
      <c r="J195" s="5" t="s">
        <v>185</v>
      </c>
      <c r="K195" s="5" t="s">
        <v>144</v>
      </c>
      <c r="L195" s="6" t="n">
        <v>483.18</v>
      </c>
      <c r="M195" s="6" t="n">
        <v>0</v>
      </c>
      <c r="N195" s="6" t="n">
        <v>2415.9</v>
      </c>
      <c r="O195" s="6" t="n">
        <v>9.95</v>
      </c>
      <c r="P195" s="6" t="n">
        <v>1605.51</v>
      </c>
      <c r="Q195" s="6" t="n">
        <v>337.16</v>
      </c>
      <c r="R195" s="6" t="n">
        <f aca="false">P195+Q195</f>
        <v>1942.67</v>
      </c>
      <c r="S195" s="6" t="n">
        <v>0</v>
      </c>
      <c r="T195" s="6" t="n">
        <v>1656.5</v>
      </c>
      <c r="U195" s="6" t="n">
        <v>-59.21</v>
      </c>
      <c r="V195" s="7" t="n">
        <f aca="false">IF(P195-(O195/1.21)=0,0,U195/(P195-(O195/1.21)))</f>
        <v>-0.0370691085622412</v>
      </c>
      <c r="W195" s="5" t="s">
        <v>153</v>
      </c>
      <c r="X195" s="5" t="s">
        <v>146</v>
      </c>
      <c r="Y195" s="5" t="s">
        <v>156</v>
      </c>
      <c r="Z195" s="11" t="n">
        <v>2</v>
      </c>
    </row>
    <row r="196" customFormat="false" ht="15" hidden="false" customHeight="false" outlineLevel="0" collapsed="false">
      <c r="A196" s="2" t="s">
        <v>394</v>
      </c>
      <c r="B196" s="8" t="n">
        <v>46064.8645833333</v>
      </c>
      <c r="C196" s="2" t="s">
        <v>172</v>
      </c>
      <c r="D196" s="2" t="s">
        <v>149</v>
      </c>
      <c r="E196" s="2" t="s">
        <v>150</v>
      </c>
      <c r="F196" s="2" t="s">
        <v>151</v>
      </c>
      <c r="G196" s="2" t="s">
        <v>152</v>
      </c>
      <c r="H196" s="2" t="s">
        <v>131</v>
      </c>
      <c r="I196" s="2" t="s">
        <v>132</v>
      </c>
      <c r="J196" s="2" t="s">
        <v>133</v>
      </c>
      <c r="K196" s="2"/>
      <c r="L196" s="3" t="n">
        <v>0</v>
      </c>
      <c r="M196" s="3" t="n">
        <v>21.4</v>
      </c>
      <c r="N196" s="3" t="n">
        <v>481.47</v>
      </c>
      <c r="O196" s="3" t="n">
        <v>4.95</v>
      </c>
      <c r="P196" s="3" t="n">
        <v>403.12</v>
      </c>
      <c r="Q196" s="3" t="n">
        <v>83.3</v>
      </c>
      <c r="R196" s="3" t="n">
        <f aca="false">P196+Q196</f>
        <v>486.42</v>
      </c>
      <c r="S196" s="3" t="n">
        <v>0</v>
      </c>
      <c r="T196" s="3" t="n">
        <v>244.9</v>
      </c>
      <c r="U196" s="3" t="n">
        <v>154.13</v>
      </c>
      <c r="V196" s="4" t="n">
        <f aca="false">IF(P196-(O196/1.21)=0,0,U196/(P196-(O196/1.21)))</f>
        <v>0.386262564588592</v>
      </c>
      <c r="W196" s="2" t="s">
        <v>162</v>
      </c>
      <c r="X196" s="2" t="s">
        <v>170</v>
      </c>
      <c r="Y196" s="2" t="s">
        <v>177</v>
      </c>
      <c r="Z196" s="9" t="n">
        <v>3</v>
      </c>
    </row>
    <row r="197" customFormat="false" ht="15" hidden="false" customHeight="false" outlineLevel="0" collapsed="false">
      <c r="A197" s="5" t="s">
        <v>395</v>
      </c>
      <c r="B197" s="10" t="n">
        <v>46066.5625</v>
      </c>
      <c r="C197" s="5" t="s">
        <v>193</v>
      </c>
      <c r="D197" s="5" t="s">
        <v>202</v>
      </c>
      <c r="E197" s="5" t="s">
        <v>203</v>
      </c>
      <c r="F197" s="5" t="s">
        <v>204</v>
      </c>
      <c r="G197" s="5" t="s">
        <v>205</v>
      </c>
      <c r="H197" s="5" t="s">
        <v>131</v>
      </c>
      <c r="I197" s="5" t="s">
        <v>132</v>
      </c>
      <c r="J197" s="5" t="s">
        <v>133</v>
      </c>
      <c r="K197" s="5" t="s">
        <v>200</v>
      </c>
      <c r="L197" s="6" t="n">
        <v>5.49</v>
      </c>
      <c r="M197" s="6" t="n">
        <v>0</v>
      </c>
      <c r="N197" s="6" t="n">
        <v>54.9</v>
      </c>
      <c r="O197" s="6" t="n">
        <v>4.95</v>
      </c>
      <c r="P197" s="6" t="n">
        <v>44.92</v>
      </c>
      <c r="Q197" s="6" t="n">
        <v>9.44</v>
      </c>
      <c r="R197" s="6" t="n">
        <f aca="false">P197+Q197</f>
        <v>54.36</v>
      </c>
      <c r="S197" s="6" t="n">
        <v>0</v>
      </c>
      <c r="T197" s="6" t="n">
        <v>22</v>
      </c>
      <c r="U197" s="6" t="n">
        <v>18.83</v>
      </c>
      <c r="V197" s="7" t="n">
        <f aca="false">IF(P197-(O197/1.21)=0,0,U197/(P197-(O197/1.21)))</f>
        <v>0.461190773067332</v>
      </c>
      <c r="W197" s="5" t="s">
        <v>162</v>
      </c>
      <c r="X197" s="5" t="s">
        <v>170</v>
      </c>
      <c r="Y197" s="5" t="s">
        <v>177</v>
      </c>
      <c r="Z197" s="11" t="n">
        <v>1</v>
      </c>
    </row>
    <row r="198" customFormat="false" ht="15" hidden="false" customHeight="false" outlineLevel="0" collapsed="false">
      <c r="A198" s="2" t="s">
        <v>396</v>
      </c>
      <c r="B198" s="8" t="n">
        <v>46066.59375</v>
      </c>
      <c r="C198" s="2" t="s">
        <v>172</v>
      </c>
      <c r="D198" s="2" t="s">
        <v>223</v>
      </c>
      <c r="E198" s="2" t="s">
        <v>224</v>
      </c>
      <c r="F198" s="2" t="s">
        <v>225</v>
      </c>
      <c r="G198" s="2" t="s">
        <v>226</v>
      </c>
      <c r="H198" s="2" t="s">
        <v>131</v>
      </c>
      <c r="I198" s="2" t="s">
        <v>132</v>
      </c>
      <c r="J198" s="2" t="s">
        <v>133</v>
      </c>
      <c r="K198" s="2"/>
      <c r="L198" s="3" t="n">
        <v>0</v>
      </c>
      <c r="M198" s="3" t="n">
        <v>0</v>
      </c>
      <c r="N198" s="3" t="n">
        <v>89.9</v>
      </c>
      <c r="O198" s="3" t="n">
        <v>9.95</v>
      </c>
      <c r="P198" s="3" t="n">
        <v>82.52</v>
      </c>
      <c r="Q198" s="3" t="n">
        <v>17.33</v>
      </c>
      <c r="R198" s="3" t="n">
        <f aca="false">P198+Q198</f>
        <v>99.85</v>
      </c>
      <c r="S198" s="3" t="n">
        <v>0</v>
      </c>
      <c r="T198" s="3" t="n">
        <v>38.5</v>
      </c>
      <c r="U198" s="3" t="n">
        <v>35.8</v>
      </c>
      <c r="V198" s="4" t="n">
        <f aca="false">IF(P198-(O198/1.21)=0,0,U198/(P198-(O198/1.21)))</f>
        <v>0.481850783989179</v>
      </c>
      <c r="W198" s="2" t="s">
        <v>153</v>
      </c>
      <c r="X198" s="2" t="s">
        <v>146</v>
      </c>
      <c r="Y198" s="2" t="s">
        <v>136</v>
      </c>
      <c r="Z198" s="9" t="n">
        <v>1</v>
      </c>
    </row>
    <row r="199" customFormat="false" ht="15" hidden="false" customHeight="false" outlineLevel="0" collapsed="false">
      <c r="A199" s="5" t="s">
        <v>397</v>
      </c>
      <c r="B199" s="10" t="n">
        <v>46067.90625</v>
      </c>
      <c r="C199" s="5" t="s">
        <v>126</v>
      </c>
      <c r="D199" s="5" t="s">
        <v>173</v>
      </c>
      <c r="E199" s="5" t="s">
        <v>174</v>
      </c>
      <c r="F199" s="5" t="s">
        <v>175</v>
      </c>
      <c r="G199" s="5" t="s">
        <v>161</v>
      </c>
      <c r="H199" s="5" t="s">
        <v>131</v>
      </c>
      <c r="I199" s="5" t="s">
        <v>132</v>
      </c>
      <c r="J199" s="5" t="s">
        <v>133</v>
      </c>
      <c r="K199" s="5"/>
      <c r="L199" s="6" t="n">
        <v>0</v>
      </c>
      <c r="M199" s="6" t="n">
        <v>0</v>
      </c>
      <c r="N199" s="6" t="n">
        <v>79.9</v>
      </c>
      <c r="O199" s="6" t="n">
        <v>9.95</v>
      </c>
      <c r="P199" s="6" t="n">
        <v>74.25</v>
      </c>
      <c r="Q199" s="6" t="n">
        <v>15.6</v>
      </c>
      <c r="R199" s="6" t="n">
        <f aca="false">P199+Q199</f>
        <v>89.85</v>
      </c>
      <c r="S199" s="6" t="n">
        <v>0</v>
      </c>
      <c r="T199" s="6" t="n">
        <v>32</v>
      </c>
      <c r="U199" s="6" t="n">
        <v>34.03</v>
      </c>
      <c r="V199" s="7" t="n">
        <f aca="false">IF(P199-(O199/1.21)=0,0,U199/(P199-(O199/1.21)))</f>
        <v>0.515396313796664</v>
      </c>
      <c r="W199" s="5" t="s">
        <v>134</v>
      </c>
      <c r="X199" s="5" t="s">
        <v>146</v>
      </c>
      <c r="Y199" s="5" t="s">
        <v>154</v>
      </c>
      <c r="Z199" s="11" t="n">
        <v>1</v>
      </c>
    </row>
    <row r="200" customFormat="false" ht="15" hidden="false" customHeight="false" outlineLevel="0" collapsed="false">
      <c r="A200" s="2" t="s">
        <v>398</v>
      </c>
      <c r="B200" s="8" t="n">
        <v>46069.4166666667</v>
      </c>
      <c r="C200" s="2" t="s">
        <v>126</v>
      </c>
      <c r="D200" s="2" t="s">
        <v>164</v>
      </c>
      <c r="E200" s="2" t="s">
        <v>165</v>
      </c>
      <c r="F200" s="2" t="s">
        <v>166</v>
      </c>
      <c r="G200" s="2" t="s">
        <v>167</v>
      </c>
      <c r="H200" s="2" t="s">
        <v>131</v>
      </c>
      <c r="I200" s="2" t="s">
        <v>132</v>
      </c>
      <c r="J200" s="2" t="s">
        <v>133</v>
      </c>
      <c r="K200" s="2" t="s">
        <v>144</v>
      </c>
      <c r="L200" s="3" t="n">
        <v>4.79</v>
      </c>
      <c r="M200" s="3" t="n">
        <v>0</v>
      </c>
      <c r="N200" s="3" t="n">
        <v>23.97</v>
      </c>
      <c r="O200" s="3" t="n">
        <v>4.95</v>
      </c>
      <c r="P200" s="3" t="n">
        <v>21.53</v>
      </c>
      <c r="Q200" s="3" t="n">
        <v>2.6</v>
      </c>
      <c r="R200" s="3" t="n">
        <f aca="false">P200+Q200</f>
        <v>24.13</v>
      </c>
      <c r="S200" s="3" t="n">
        <v>0</v>
      </c>
      <c r="T200" s="3" t="n">
        <v>10.2</v>
      </c>
      <c r="U200" s="3" t="n">
        <v>7.24</v>
      </c>
      <c r="V200" s="4" t="n">
        <f aca="false">IF(P200-(O200/1.21)=0,0,U200/(P200-(O200/1.21)))</f>
        <v>0.415159255590888</v>
      </c>
      <c r="W200" s="2" t="s">
        <v>134</v>
      </c>
      <c r="X200" s="2" t="s">
        <v>170</v>
      </c>
      <c r="Y200" s="2" t="s">
        <v>136</v>
      </c>
      <c r="Z200" s="9" t="n">
        <v>1</v>
      </c>
    </row>
    <row r="201" customFormat="false" ht="15" hidden="false" customHeight="false" outlineLevel="0" collapsed="false">
      <c r="A201" s="5" t="s">
        <v>399</v>
      </c>
      <c r="B201" s="10" t="n">
        <v>46069.6666666667</v>
      </c>
      <c r="C201" s="5" t="s">
        <v>126</v>
      </c>
      <c r="D201" s="5" t="s">
        <v>173</v>
      </c>
      <c r="E201" s="5" t="s">
        <v>174</v>
      </c>
      <c r="F201" s="5" t="s">
        <v>175</v>
      </c>
      <c r="G201" s="5" t="s">
        <v>161</v>
      </c>
      <c r="H201" s="5" t="s">
        <v>131</v>
      </c>
      <c r="I201" s="5" t="s">
        <v>132</v>
      </c>
      <c r="J201" s="5" t="s">
        <v>133</v>
      </c>
      <c r="K201" s="5"/>
      <c r="L201" s="6" t="n">
        <v>0</v>
      </c>
      <c r="M201" s="6" t="n">
        <v>0.9</v>
      </c>
      <c r="N201" s="6" t="n">
        <v>807.08</v>
      </c>
      <c r="O201" s="6" t="n">
        <v>0</v>
      </c>
      <c r="P201" s="6" t="n">
        <v>667.68</v>
      </c>
      <c r="Q201" s="6" t="n">
        <v>139.4</v>
      </c>
      <c r="R201" s="6" t="n">
        <f aca="false">P201+Q201</f>
        <v>807.08</v>
      </c>
      <c r="S201" s="6" t="n">
        <v>0</v>
      </c>
      <c r="T201" s="6" t="n">
        <v>554.2</v>
      </c>
      <c r="U201" s="6" t="n">
        <v>113.48</v>
      </c>
      <c r="V201" s="7" t="n">
        <f aca="false">IF(P201-(O201/1.21)=0,0,U201/(P201-(O201/1.21)))</f>
        <v>0.169961658279415</v>
      </c>
      <c r="W201" s="5" t="s">
        <v>153</v>
      </c>
      <c r="X201" s="5" t="s">
        <v>135</v>
      </c>
      <c r="Y201" s="5" t="s">
        <v>156</v>
      </c>
      <c r="Z201" s="11" t="n">
        <v>2</v>
      </c>
    </row>
    <row r="202" customFormat="false" ht="15" hidden="false" customHeight="false" outlineLevel="0" collapsed="false">
      <c r="A202" s="2" t="s">
        <v>400</v>
      </c>
      <c r="B202" s="8" t="n">
        <v>46070.7291666667</v>
      </c>
      <c r="C202" s="2" t="s">
        <v>126</v>
      </c>
      <c r="D202" s="2" t="s">
        <v>258</v>
      </c>
      <c r="E202" s="2" t="s">
        <v>259</v>
      </c>
      <c r="F202" s="2" t="s">
        <v>260</v>
      </c>
      <c r="G202" s="2" t="s">
        <v>261</v>
      </c>
      <c r="H202" s="2" t="s">
        <v>131</v>
      </c>
      <c r="I202" s="2" t="s">
        <v>132</v>
      </c>
      <c r="J202" s="2" t="s">
        <v>133</v>
      </c>
      <c r="K202" s="2"/>
      <c r="L202" s="3" t="n">
        <v>0</v>
      </c>
      <c r="M202" s="3" t="n">
        <v>6.39</v>
      </c>
      <c r="N202" s="3" t="n">
        <v>295.53</v>
      </c>
      <c r="O202" s="3" t="n">
        <v>9.95</v>
      </c>
      <c r="P202" s="3" t="n">
        <v>257.21</v>
      </c>
      <c r="Q202" s="3" t="n">
        <v>48.27</v>
      </c>
      <c r="R202" s="3" t="n">
        <f aca="false">P202+Q202</f>
        <v>305.48</v>
      </c>
      <c r="S202" s="3" t="n">
        <v>0</v>
      </c>
      <c r="T202" s="3" t="n">
        <v>137.2</v>
      </c>
      <c r="U202" s="3" t="n">
        <v>111.79</v>
      </c>
      <c r="V202" s="4" t="n">
        <f aca="false">IF(P202-(O202/1.21)=0,0,U202/(P202-(O202/1.21)))</f>
        <v>0.448979517323262</v>
      </c>
      <c r="W202" s="2" t="s">
        <v>169</v>
      </c>
      <c r="X202" s="2" t="s">
        <v>146</v>
      </c>
      <c r="Y202" s="2" t="s">
        <v>136</v>
      </c>
      <c r="Z202" s="9" t="n">
        <v>2</v>
      </c>
    </row>
    <row r="203" customFormat="false" ht="15" hidden="false" customHeight="false" outlineLevel="0" collapsed="false">
      <c r="A203" s="5" t="s">
        <v>401</v>
      </c>
      <c r="B203" s="10" t="n">
        <v>46071.46875</v>
      </c>
      <c r="C203" s="5" t="s">
        <v>193</v>
      </c>
      <c r="D203" s="5" t="s">
        <v>217</v>
      </c>
      <c r="E203" s="5" t="s">
        <v>218</v>
      </c>
      <c r="F203" s="5" t="s">
        <v>219</v>
      </c>
      <c r="G203" s="5" t="s">
        <v>220</v>
      </c>
      <c r="H203" s="5" t="s">
        <v>131</v>
      </c>
      <c r="I203" s="5" t="s">
        <v>132</v>
      </c>
      <c r="J203" s="5" t="s">
        <v>133</v>
      </c>
      <c r="K203" s="5"/>
      <c r="L203" s="6" t="n">
        <v>0</v>
      </c>
      <c r="M203" s="6" t="n">
        <v>2.24</v>
      </c>
      <c r="N203" s="6" t="n">
        <v>12.71</v>
      </c>
      <c r="O203" s="6" t="n">
        <v>9.95</v>
      </c>
      <c r="P203" s="6" t="n">
        <v>19.77</v>
      </c>
      <c r="Q203" s="6" t="n">
        <v>2.89</v>
      </c>
      <c r="R203" s="6" t="n">
        <f aca="false">P203+Q203</f>
        <v>22.66</v>
      </c>
      <c r="S203" s="6" t="n">
        <v>0</v>
      </c>
      <c r="T203" s="6" t="n">
        <v>6</v>
      </c>
      <c r="U203" s="6" t="n">
        <v>5.55</v>
      </c>
      <c r="V203" s="7" t="n">
        <f aca="false">IF(P203-(O203/1.21)=0,0,U203/(P203-(O203/1.21)))</f>
        <v>0.480650171417938</v>
      </c>
      <c r="W203" s="5" t="s">
        <v>162</v>
      </c>
      <c r="X203" s="5" t="s">
        <v>146</v>
      </c>
      <c r="Y203" s="5" t="s">
        <v>136</v>
      </c>
      <c r="Z203" s="11" t="n">
        <v>1</v>
      </c>
    </row>
    <row r="204" customFormat="false" ht="15" hidden="false" customHeight="false" outlineLevel="0" collapsed="false">
      <c r="A204" s="2" t="s">
        <v>402</v>
      </c>
      <c r="B204" s="8" t="n">
        <v>46071.71875</v>
      </c>
      <c r="C204" s="2" t="s">
        <v>148</v>
      </c>
      <c r="D204" s="2" t="s">
        <v>202</v>
      </c>
      <c r="E204" s="2" t="s">
        <v>203</v>
      </c>
      <c r="F204" s="2" t="s">
        <v>204</v>
      </c>
      <c r="G204" s="2" t="s">
        <v>205</v>
      </c>
      <c r="H204" s="2" t="s">
        <v>131</v>
      </c>
      <c r="I204" s="2" t="s">
        <v>132</v>
      </c>
      <c r="J204" s="2" t="s">
        <v>133</v>
      </c>
      <c r="K204" s="2"/>
      <c r="L204" s="3" t="n">
        <v>0</v>
      </c>
      <c r="M204" s="3" t="n">
        <v>0</v>
      </c>
      <c r="N204" s="3" t="n">
        <v>53.6</v>
      </c>
      <c r="O204" s="3" t="n">
        <v>9.95</v>
      </c>
      <c r="P204" s="3" t="n">
        <v>53.16</v>
      </c>
      <c r="Q204" s="3" t="n">
        <v>10.39</v>
      </c>
      <c r="R204" s="3" t="n">
        <f aca="false">P204+Q204</f>
        <v>63.55</v>
      </c>
      <c r="S204" s="3" t="n">
        <v>0</v>
      </c>
      <c r="T204" s="3" t="n">
        <v>21</v>
      </c>
      <c r="U204" s="3" t="n">
        <v>23.94</v>
      </c>
      <c r="V204" s="4" t="n">
        <f aca="false">IF(P204-(O204/1.21)=0,0,U204/(P204-(O204/1.21)))</f>
        <v>0.532747509820943</v>
      </c>
      <c r="W204" s="2" t="s">
        <v>169</v>
      </c>
      <c r="X204" s="2" t="s">
        <v>146</v>
      </c>
      <c r="Y204" s="2" t="s">
        <v>136</v>
      </c>
      <c r="Z204" s="9" t="n">
        <v>2</v>
      </c>
    </row>
    <row r="205" customFormat="false" ht="15" hidden="false" customHeight="false" outlineLevel="0" collapsed="false">
      <c r="A205" s="5" t="s">
        <v>403</v>
      </c>
      <c r="B205" s="10" t="n">
        <v>46072.5833333333</v>
      </c>
      <c r="C205" s="5" t="s">
        <v>148</v>
      </c>
      <c r="D205" s="5" t="s">
        <v>139</v>
      </c>
      <c r="E205" s="5" t="s">
        <v>140</v>
      </c>
      <c r="F205" s="5" t="s">
        <v>141</v>
      </c>
      <c r="G205" s="5" t="s">
        <v>142</v>
      </c>
      <c r="H205" s="5" t="s">
        <v>143</v>
      </c>
      <c r="I205" s="5" t="s">
        <v>132</v>
      </c>
      <c r="J205" s="5" t="s">
        <v>133</v>
      </c>
      <c r="K205" s="5" t="s">
        <v>144</v>
      </c>
      <c r="L205" s="6" t="n">
        <v>71.88</v>
      </c>
      <c r="M205" s="6" t="n">
        <v>0</v>
      </c>
      <c r="N205" s="6" t="n">
        <v>359.4</v>
      </c>
      <c r="O205" s="6" t="n">
        <v>0</v>
      </c>
      <c r="P205" s="6" t="n">
        <v>237.62</v>
      </c>
      <c r="Q205" s="6" t="n">
        <v>49.9</v>
      </c>
      <c r="R205" s="6" t="n">
        <f aca="false">P205+Q205</f>
        <v>287.52</v>
      </c>
      <c r="S205" s="6" t="n">
        <v>0</v>
      </c>
      <c r="T205" s="6" t="n">
        <v>156</v>
      </c>
      <c r="U205" s="6" t="n">
        <v>81.62</v>
      </c>
      <c r="V205" s="7" t="n">
        <f aca="false">IF(P205-(O205/1.21)=0,0,U205/(P205-(O205/1.21)))</f>
        <v>0.343489605252083</v>
      </c>
      <c r="W205" s="5" t="s">
        <v>134</v>
      </c>
      <c r="X205" s="5" t="s">
        <v>135</v>
      </c>
      <c r="Y205" s="5" t="s">
        <v>156</v>
      </c>
      <c r="Z205" s="11" t="n">
        <v>1</v>
      </c>
    </row>
    <row r="206" customFormat="false" ht="15" hidden="false" customHeight="false" outlineLevel="0" collapsed="false">
      <c r="A206" s="2" t="s">
        <v>404</v>
      </c>
      <c r="B206" s="8" t="n">
        <v>46074.4375</v>
      </c>
      <c r="C206" s="2" t="s">
        <v>126</v>
      </c>
      <c r="D206" s="2" t="s">
        <v>158</v>
      </c>
      <c r="E206" s="2" t="s">
        <v>159</v>
      </c>
      <c r="F206" s="2" t="s">
        <v>160</v>
      </c>
      <c r="G206" s="2" t="s">
        <v>161</v>
      </c>
      <c r="H206" s="2" t="s">
        <v>131</v>
      </c>
      <c r="I206" s="2" t="s">
        <v>132</v>
      </c>
      <c r="J206" s="2" t="s">
        <v>133</v>
      </c>
      <c r="K206" s="2" t="s">
        <v>200</v>
      </c>
      <c r="L206" s="3" t="n">
        <v>82.09</v>
      </c>
      <c r="M206" s="3" t="n">
        <v>0</v>
      </c>
      <c r="N206" s="3" t="n">
        <v>820.87</v>
      </c>
      <c r="O206" s="3" t="n">
        <v>4.95</v>
      </c>
      <c r="P206" s="3" t="n">
        <v>615.33</v>
      </c>
      <c r="Q206" s="3" t="n">
        <v>128.4</v>
      </c>
      <c r="R206" s="3" t="n">
        <f aca="false">P206+Q206</f>
        <v>743.73</v>
      </c>
      <c r="S206" s="3" t="n">
        <v>0</v>
      </c>
      <c r="T206" s="3" t="n">
        <v>555.7</v>
      </c>
      <c r="U206" s="3" t="n">
        <v>55.54</v>
      </c>
      <c r="V206" s="4" t="n">
        <f aca="false">IF(P206-(O206/1.21)=0,0,U206/(P206-(O206/1.21)))</f>
        <v>0.090864607362392</v>
      </c>
      <c r="W206" s="2" t="s">
        <v>162</v>
      </c>
      <c r="X206" s="2" t="s">
        <v>170</v>
      </c>
      <c r="Y206" s="2" t="s">
        <v>156</v>
      </c>
      <c r="Z206" s="9" t="n">
        <v>3</v>
      </c>
    </row>
    <row r="207" customFormat="false" ht="15" hidden="false" customHeight="false" outlineLevel="0" collapsed="false">
      <c r="A207" s="5" t="s">
        <v>405</v>
      </c>
      <c r="B207" s="10" t="n">
        <v>46078.8958333333</v>
      </c>
      <c r="C207" s="5" t="s">
        <v>138</v>
      </c>
      <c r="D207" s="5" t="s">
        <v>188</v>
      </c>
      <c r="E207" s="5" t="s">
        <v>189</v>
      </c>
      <c r="F207" s="5" t="s">
        <v>190</v>
      </c>
      <c r="G207" s="5" t="s">
        <v>191</v>
      </c>
      <c r="H207" s="5" t="s">
        <v>131</v>
      </c>
      <c r="I207" s="5" t="s">
        <v>132</v>
      </c>
      <c r="J207" s="5" t="s">
        <v>133</v>
      </c>
      <c r="K207" s="5" t="s">
        <v>200</v>
      </c>
      <c r="L207" s="6" t="n">
        <v>4.98</v>
      </c>
      <c r="M207" s="6" t="n">
        <v>0</v>
      </c>
      <c r="N207" s="6" t="n">
        <v>49.8</v>
      </c>
      <c r="O207" s="6" t="n">
        <v>0</v>
      </c>
      <c r="P207" s="6" t="n">
        <v>37.04</v>
      </c>
      <c r="Q207" s="6" t="n">
        <v>7.78</v>
      </c>
      <c r="R207" s="6" t="n">
        <f aca="false">P207+Q207</f>
        <v>44.82</v>
      </c>
      <c r="S207" s="6" t="n">
        <v>0</v>
      </c>
      <c r="T207" s="6" t="n">
        <v>19.6</v>
      </c>
      <c r="U207" s="6" t="n">
        <v>17.44</v>
      </c>
      <c r="V207" s="7" t="n">
        <f aca="false">IF(P207-(O207/1.21)=0,0,U207/(P207-(O207/1.21)))</f>
        <v>0.470842332613391</v>
      </c>
      <c r="W207" s="5" t="s">
        <v>162</v>
      </c>
      <c r="X207" s="5" t="s">
        <v>135</v>
      </c>
      <c r="Y207" s="5" t="s">
        <v>156</v>
      </c>
      <c r="Z207" s="11" t="n">
        <v>1</v>
      </c>
    </row>
    <row r="208" customFormat="false" ht="15" hidden="false" customHeight="false" outlineLevel="0" collapsed="false">
      <c r="A208" s="2" t="s">
        <v>406</v>
      </c>
      <c r="B208" s="8" t="n">
        <v>46079.6875</v>
      </c>
      <c r="C208" s="2" t="s">
        <v>126</v>
      </c>
      <c r="D208" s="2" t="s">
        <v>164</v>
      </c>
      <c r="E208" s="2" t="s">
        <v>165</v>
      </c>
      <c r="F208" s="2" t="s">
        <v>166</v>
      </c>
      <c r="G208" s="2" t="s">
        <v>167</v>
      </c>
      <c r="H208" s="2" t="s">
        <v>131</v>
      </c>
      <c r="I208" s="2" t="s">
        <v>132</v>
      </c>
      <c r="J208" s="2" t="s">
        <v>133</v>
      </c>
      <c r="K208" s="2"/>
      <c r="L208" s="3" t="n">
        <v>0</v>
      </c>
      <c r="M208" s="3" t="n">
        <v>0</v>
      </c>
      <c r="N208" s="3" t="n">
        <v>11.7</v>
      </c>
      <c r="O208" s="3" t="n">
        <v>0</v>
      </c>
      <c r="P208" s="3" t="n">
        <v>10.64</v>
      </c>
      <c r="Q208" s="3" t="n">
        <v>1.06</v>
      </c>
      <c r="R208" s="3" t="n">
        <f aca="false">P208+Q208</f>
        <v>11.7</v>
      </c>
      <c r="S208" s="3" t="n">
        <v>0</v>
      </c>
      <c r="T208" s="3" t="n">
        <v>7.5</v>
      </c>
      <c r="U208" s="3" t="n">
        <v>3.14</v>
      </c>
      <c r="V208" s="4" t="n">
        <f aca="false">IF(P208-(O208/1.21)=0,0,U208/(P208-(O208/1.21)))</f>
        <v>0.295112781954887</v>
      </c>
      <c r="W208" s="2" t="s">
        <v>153</v>
      </c>
      <c r="X208" s="2" t="s">
        <v>135</v>
      </c>
      <c r="Y208" s="2" t="s">
        <v>136</v>
      </c>
      <c r="Z208" s="9" t="n">
        <v>1</v>
      </c>
    </row>
    <row r="209" customFormat="false" ht="15" hidden="false" customHeight="false" outlineLevel="0" collapsed="false">
      <c r="A209" s="5" t="s">
        <v>407</v>
      </c>
      <c r="B209" s="10" t="n">
        <v>46080.6145833333</v>
      </c>
      <c r="C209" s="5" t="s">
        <v>126</v>
      </c>
      <c r="D209" s="5" t="s">
        <v>158</v>
      </c>
      <c r="E209" s="5" t="s">
        <v>159</v>
      </c>
      <c r="F209" s="5" t="s">
        <v>160</v>
      </c>
      <c r="G209" s="5" t="s">
        <v>161</v>
      </c>
      <c r="H209" s="5" t="s">
        <v>131</v>
      </c>
      <c r="I209" s="5" t="s">
        <v>185</v>
      </c>
      <c r="J209" s="5" t="s">
        <v>185</v>
      </c>
      <c r="K209" s="5" t="s">
        <v>186</v>
      </c>
      <c r="L209" s="6" t="n">
        <v>0</v>
      </c>
      <c r="M209" s="6" t="n">
        <v>0</v>
      </c>
      <c r="N209" s="6" t="n">
        <v>977.9</v>
      </c>
      <c r="O209" s="6" t="n">
        <v>0</v>
      </c>
      <c r="P209" s="6" t="n">
        <v>808.18</v>
      </c>
      <c r="Q209" s="6" t="n">
        <v>169.72</v>
      </c>
      <c r="R209" s="6" t="n">
        <f aca="false">P209+Q209</f>
        <v>977.9</v>
      </c>
      <c r="S209" s="6" t="n">
        <v>0</v>
      </c>
      <c r="T209" s="6" t="n">
        <v>752</v>
      </c>
      <c r="U209" s="6" t="n">
        <v>56.18</v>
      </c>
      <c r="V209" s="7" t="n">
        <f aca="false">IF(P209-(O209/1.21)=0,0,U209/(P209-(O209/1.21)))</f>
        <v>0.0695142171298473</v>
      </c>
      <c r="W209" s="5" t="s">
        <v>134</v>
      </c>
      <c r="X209" s="5" t="s">
        <v>170</v>
      </c>
      <c r="Y209" s="5" t="s">
        <v>136</v>
      </c>
      <c r="Z209" s="11" t="n">
        <v>2</v>
      </c>
    </row>
    <row r="210" customFormat="false" ht="15" hidden="false" customHeight="false" outlineLevel="0" collapsed="false">
      <c r="A210" s="2" t="s">
        <v>408</v>
      </c>
      <c r="B210" s="8" t="n">
        <v>46082.3854166667</v>
      </c>
      <c r="C210" s="2" t="s">
        <v>138</v>
      </c>
      <c r="D210" s="2" t="s">
        <v>127</v>
      </c>
      <c r="E210" s="2" t="s">
        <v>128</v>
      </c>
      <c r="F210" s="2" t="s">
        <v>129</v>
      </c>
      <c r="G210" s="2" t="s">
        <v>130</v>
      </c>
      <c r="H210" s="2" t="s">
        <v>131</v>
      </c>
      <c r="I210" s="2" t="s">
        <v>132</v>
      </c>
      <c r="J210" s="2" t="s">
        <v>133</v>
      </c>
      <c r="K210" s="2" t="s">
        <v>144</v>
      </c>
      <c r="L210" s="3" t="n">
        <v>2</v>
      </c>
      <c r="M210" s="3" t="n">
        <v>0</v>
      </c>
      <c r="N210" s="3" t="n">
        <v>9.98</v>
      </c>
      <c r="O210" s="3" t="n">
        <v>0</v>
      </c>
      <c r="P210" s="3" t="n">
        <v>7.25</v>
      </c>
      <c r="Q210" s="3" t="n">
        <v>0.73</v>
      </c>
      <c r="R210" s="3" t="n">
        <f aca="false">P210+Q210</f>
        <v>7.98</v>
      </c>
      <c r="S210" s="3" t="n">
        <v>0</v>
      </c>
      <c r="T210" s="3" t="n">
        <v>4.6</v>
      </c>
      <c r="U210" s="3" t="n">
        <v>2.65</v>
      </c>
      <c r="V210" s="4" t="n">
        <f aca="false">IF(P210-(O210/1.21)=0,0,U210/(P210-(O210/1.21)))</f>
        <v>0.36551724137931</v>
      </c>
      <c r="W210" s="2" t="s">
        <v>134</v>
      </c>
      <c r="X210" s="2" t="s">
        <v>135</v>
      </c>
      <c r="Y210" s="2" t="s">
        <v>154</v>
      </c>
      <c r="Z210" s="9" t="n">
        <v>1</v>
      </c>
    </row>
    <row r="211" customFormat="false" ht="15" hidden="false" customHeight="false" outlineLevel="0" collapsed="false">
      <c r="A211" s="5" t="s">
        <v>409</v>
      </c>
      <c r="B211" s="10" t="n">
        <v>46082.5625</v>
      </c>
      <c r="C211" s="5" t="s">
        <v>172</v>
      </c>
      <c r="D211" s="5" t="s">
        <v>139</v>
      </c>
      <c r="E211" s="5" t="s">
        <v>140</v>
      </c>
      <c r="F211" s="5" t="s">
        <v>141</v>
      </c>
      <c r="G211" s="5" t="s">
        <v>142</v>
      </c>
      <c r="H211" s="5" t="s">
        <v>143</v>
      </c>
      <c r="I211" s="5" t="s">
        <v>132</v>
      </c>
      <c r="J211" s="5" t="s">
        <v>133</v>
      </c>
      <c r="K211" s="5" t="s">
        <v>186</v>
      </c>
      <c r="L211" s="6" t="n">
        <v>0</v>
      </c>
      <c r="M211" s="6" t="n">
        <v>0</v>
      </c>
      <c r="N211" s="6" t="n">
        <v>57.89</v>
      </c>
      <c r="O211" s="6" t="n">
        <v>0</v>
      </c>
      <c r="P211" s="6" t="n">
        <v>48.09</v>
      </c>
      <c r="Q211" s="6" t="n">
        <v>9.8</v>
      </c>
      <c r="R211" s="6" t="n">
        <f aca="false">P211+Q211</f>
        <v>57.89</v>
      </c>
      <c r="S211" s="6" t="n">
        <v>0</v>
      </c>
      <c r="T211" s="6" t="n">
        <v>23.2</v>
      </c>
      <c r="U211" s="6" t="n">
        <v>24.89</v>
      </c>
      <c r="V211" s="7" t="n">
        <f aca="false">IF(P211-(O211/1.21)=0,0,U211/(P211-(O211/1.21)))</f>
        <v>0.517571220627989</v>
      </c>
      <c r="W211" s="5" t="s">
        <v>134</v>
      </c>
      <c r="X211" s="5" t="s">
        <v>170</v>
      </c>
      <c r="Y211" s="5" t="s">
        <v>156</v>
      </c>
      <c r="Z211" s="11" t="n">
        <v>2</v>
      </c>
    </row>
    <row r="212" customFormat="false" ht="15" hidden="false" customHeight="false" outlineLevel="0" collapsed="false">
      <c r="A212" s="2" t="s">
        <v>410</v>
      </c>
      <c r="B212" s="8" t="n">
        <v>46082.7291666667</v>
      </c>
      <c r="C212" s="2" t="s">
        <v>126</v>
      </c>
      <c r="D212" s="2" t="s">
        <v>258</v>
      </c>
      <c r="E212" s="2" t="s">
        <v>259</v>
      </c>
      <c r="F212" s="2" t="s">
        <v>260</v>
      </c>
      <c r="G212" s="2" t="s">
        <v>261</v>
      </c>
      <c r="H212" s="2" t="s">
        <v>131</v>
      </c>
      <c r="I212" s="2" t="s">
        <v>132</v>
      </c>
      <c r="J212" s="2" t="s">
        <v>133</v>
      </c>
      <c r="K212" s="2" t="s">
        <v>186</v>
      </c>
      <c r="L212" s="3" t="n">
        <v>0</v>
      </c>
      <c r="M212" s="3" t="n">
        <v>0</v>
      </c>
      <c r="N212" s="3" t="n">
        <v>508.9</v>
      </c>
      <c r="O212" s="3" t="n">
        <v>0</v>
      </c>
      <c r="P212" s="3" t="n">
        <v>420.57</v>
      </c>
      <c r="Q212" s="3" t="n">
        <v>88.33</v>
      </c>
      <c r="R212" s="3" t="n">
        <f aca="false">P212+Q212</f>
        <v>508.9</v>
      </c>
      <c r="S212" s="3" t="n">
        <v>0</v>
      </c>
      <c r="T212" s="3" t="n">
        <v>384</v>
      </c>
      <c r="U212" s="3" t="n">
        <v>36.57</v>
      </c>
      <c r="V212" s="4" t="n">
        <f aca="false">IF(P212-(O212/1.21)=0,0,U212/(P212-(O212/1.21)))</f>
        <v>0.0869534203580855</v>
      </c>
      <c r="W212" s="2" t="s">
        <v>162</v>
      </c>
      <c r="X212" s="2" t="s">
        <v>146</v>
      </c>
      <c r="Y212" s="2" t="s">
        <v>136</v>
      </c>
      <c r="Z212" s="9" t="n">
        <v>2</v>
      </c>
    </row>
    <row r="213" customFormat="false" ht="15" hidden="false" customHeight="false" outlineLevel="0" collapsed="false">
      <c r="A213" s="5" t="s">
        <v>411</v>
      </c>
      <c r="B213" s="10" t="n">
        <v>46083.6354166667</v>
      </c>
      <c r="C213" s="5" t="s">
        <v>172</v>
      </c>
      <c r="D213" s="5" t="s">
        <v>217</v>
      </c>
      <c r="E213" s="5" t="s">
        <v>218</v>
      </c>
      <c r="F213" s="5" t="s">
        <v>219</v>
      </c>
      <c r="G213" s="5" t="s">
        <v>220</v>
      </c>
      <c r="H213" s="5" t="s">
        <v>131</v>
      </c>
      <c r="I213" s="5" t="s">
        <v>132</v>
      </c>
      <c r="J213" s="5" t="s">
        <v>133</v>
      </c>
      <c r="K213" s="5"/>
      <c r="L213" s="6" t="n">
        <v>0</v>
      </c>
      <c r="M213" s="6" t="n">
        <v>0</v>
      </c>
      <c r="N213" s="6" t="n">
        <v>43.88</v>
      </c>
      <c r="O213" s="6" t="n">
        <v>4.95</v>
      </c>
      <c r="P213" s="6" t="n">
        <v>41.09</v>
      </c>
      <c r="Q213" s="6" t="n">
        <v>7.74</v>
      </c>
      <c r="R213" s="6" t="n">
        <f aca="false">P213+Q213</f>
        <v>48.83</v>
      </c>
      <c r="S213" s="6" t="n">
        <v>0</v>
      </c>
      <c r="T213" s="6" t="n">
        <v>18.2</v>
      </c>
      <c r="U213" s="6" t="n">
        <v>18.8</v>
      </c>
      <c r="V213" s="7" t="n">
        <f aca="false">IF(P213-(O213/1.21)=0,0,U213/(P213-(O213/1.21)))</f>
        <v>0.508120592643554</v>
      </c>
      <c r="W213" s="5" t="s">
        <v>145</v>
      </c>
      <c r="X213" s="5" t="s">
        <v>170</v>
      </c>
      <c r="Y213" s="5" t="s">
        <v>177</v>
      </c>
      <c r="Z213" s="11" t="n">
        <v>2</v>
      </c>
    </row>
    <row r="214" customFormat="false" ht="15" hidden="false" customHeight="false" outlineLevel="0" collapsed="false">
      <c r="A214" s="2" t="s">
        <v>412</v>
      </c>
      <c r="B214" s="8" t="n">
        <v>46085.8229166667</v>
      </c>
      <c r="C214" s="2" t="s">
        <v>126</v>
      </c>
      <c r="D214" s="2" t="s">
        <v>202</v>
      </c>
      <c r="E214" s="2" t="s">
        <v>203</v>
      </c>
      <c r="F214" s="2" t="s">
        <v>204</v>
      </c>
      <c r="G214" s="2" t="s">
        <v>205</v>
      </c>
      <c r="H214" s="2" t="s">
        <v>131</v>
      </c>
      <c r="I214" s="2" t="s">
        <v>132</v>
      </c>
      <c r="J214" s="2" t="s">
        <v>133</v>
      </c>
      <c r="K214" s="2"/>
      <c r="L214" s="3" t="n">
        <v>0</v>
      </c>
      <c r="M214" s="3" t="n">
        <v>0</v>
      </c>
      <c r="N214" s="3" t="n">
        <v>98.8</v>
      </c>
      <c r="O214" s="3" t="n">
        <v>9.95</v>
      </c>
      <c r="P214" s="3" t="n">
        <v>89.87</v>
      </c>
      <c r="Q214" s="3" t="n">
        <v>18.88</v>
      </c>
      <c r="R214" s="3" t="n">
        <f aca="false">P214+Q214</f>
        <v>108.75</v>
      </c>
      <c r="S214" s="3" t="n">
        <v>0</v>
      </c>
      <c r="T214" s="3" t="n">
        <v>38.5</v>
      </c>
      <c r="U214" s="3" t="n">
        <v>43.15</v>
      </c>
      <c r="V214" s="4" t="n">
        <f aca="false">IF(P214-(O214/1.21)=0,0,U214/(P214-(O214/1.21)))</f>
        <v>0.52849552649133</v>
      </c>
      <c r="W214" s="2" t="s">
        <v>162</v>
      </c>
      <c r="X214" s="2" t="s">
        <v>146</v>
      </c>
      <c r="Y214" s="2" t="s">
        <v>136</v>
      </c>
      <c r="Z214" s="9" t="n">
        <v>2</v>
      </c>
    </row>
    <row r="215" customFormat="false" ht="15" hidden="false" customHeight="false" outlineLevel="0" collapsed="false">
      <c r="A215" s="5" t="s">
        <v>413</v>
      </c>
      <c r="B215" s="10" t="n">
        <v>46086.6145833333</v>
      </c>
      <c r="C215" s="5" t="s">
        <v>138</v>
      </c>
      <c r="D215" s="5" t="s">
        <v>158</v>
      </c>
      <c r="E215" s="5" t="s">
        <v>159</v>
      </c>
      <c r="F215" s="5" t="s">
        <v>160</v>
      </c>
      <c r="G215" s="5" t="s">
        <v>161</v>
      </c>
      <c r="H215" s="5" t="s">
        <v>131</v>
      </c>
      <c r="I215" s="5" t="s">
        <v>132</v>
      </c>
      <c r="J215" s="5" t="s">
        <v>133</v>
      </c>
      <c r="K215" s="5"/>
      <c r="L215" s="6" t="n">
        <v>0</v>
      </c>
      <c r="M215" s="6" t="n">
        <v>0</v>
      </c>
      <c r="N215" s="6" t="n">
        <v>64.88</v>
      </c>
      <c r="O215" s="6" t="n">
        <v>9.95</v>
      </c>
      <c r="P215" s="6" t="n">
        <v>62.66</v>
      </c>
      <c r="Q215" s="6" t="n">
        <v>12.17</v>
      </c>
      <c r="R215" s="6" t="n">
        <f aca="false">P215+Q215</f>
        <v>74.83</v>
      </c>
      <c r="S215" s="6" t="n">
        <v>0</v>
      </c>
      <c r="T215" s="6" t="n">
        <v>26.6</v>
      </c>
      <c r="U215" s="6" t="n">
        <v>27.84</v>
      </c>
      <c r="V215" s="7" t="n">
        <f aca="false">IF(P215-(O215/1.21)=0,0,U215/(P215-(O215/1.21)))</f>
        <v>0.51141818711799</v>
      </c>
      <c r="W215" s="5" t="s">
        <v>162</v>
      </c>
      <c r="X215" s="5" t="s">
        <v>146</v>
      </c>
      <c r="Y215" s="5" t="s">
        <v>177</v>
      </c>
      <c r="Z215" s="11" t="n">
        <v>2</v>
      </c>
    </row>
    <row r="216" customFormat="false" ht="15" hidden="false" customHeight="false" outlineLevel="0" collapsed="false">
      <c r="A216" s="2" t="s">
        <v>414</v>
      </c>
      <c r="B216" s="8" t="n">
        <v>46086.7291666667</v>
      </c>
      <c r="C216" s="2" t="s">
        <v>126</v>
      </c>
      <c r="D216" s="2" t="s">
        <v>173</v>
      </c>
      <c r="E216" s="2" t="s">
        <v>174</v>
      </c>
      <c r="F216" s="2" t="s">
        <v>175</v>
      </c>
      <c r="G216" s="2" t="s">
        <v>161</v>
      </c>
      <c r="H216" s="2" t="s">
        <v>131</v>
      </c>
      <c r="I216" s="2" t="s">
        <v>132</v>
      </c>
      <c r="J216" s="2" t="s">
        <v>133</v>
      </c>
      <c r="K216" s="2" t="s">
        <v>168</v>
      </c>
      <c r="L216" s="3" t="n">
        <v>36.32</v>
      </c>
      <c r="M216" s="3" t="n">
        <v>2.49</v>
      </c>
      <c r="N216" s="3" t="n">
        <v>242.11</v>
      </c>
      <c r="O216" s="3" t="n">
        <v>4.95</v>
      </c>
      <c r="P216" s="3" t="n">
        <v>174.16</v>
      </c>
      <c r="Q216" s="3" t="n">
        <v>36.58</v>
      </c>
      <c r="R216" s="3" t="n">
        <f aca="false">P216+Q216</f>
        <v>210.74</v>
      </c>
      <c r="S216" s="3" t="n">
        <v>0</v>
      </c>
      <c r="T216" s="3" t="n">
        <v>102.8</v>
      </c>
      <c r="U216" s="3" t="n">
        <v>67.27</v>
      </c>
      <c r="V216" s="4" t="n">
        <f aca="false">IF(P216-(O216/1.21)=0,0,U216/(P216-(O216/1.21)))</f>
        <v>0.39554512604503</v>
      </c>
      <c r="W216" s="2" t="s">
        <v>134</v>
      </c>
      <c r="X216" s="2" t="s">
        <v>170</v>
      </c>
      <c r="Y216" s="2" t="s">
        <v>154</v>
      </c>
      <c r="Z216" s="9" t="n">
        <v>3</v>
      </c>
    </row>
    <row r="217" customFormat="false" ht="15" hidden="false" customHeight="false" outlineLevel="0" collapsed="false">
      <c r="A217" s="5" t="s">
        <v>415</v>
      </c>
      <c r="B217" s="10" t="n">
        <v>46089.59375</v>
      </c>
      <c r="C217" s="5" t="s">
        <v>126</v>
      </c>
      <c r="D217" s="5" t="s">
        <v>164</v>
      </c>
      <c r="E217" s="5" t="s">
        <v>165</v>
      </c>
      <c r="F217" s="5" t="s">
        <v>166</v>
      </c>
      <c r="G217" s="5" t="s">
        <v>167</v>
      </c>
      <c r="H217" s="5" t="s">
        <v>131</v>
      </c>
      <c r="I217" s="5" t="s">
        <v>231</v>
      </c>
      <c r="J217" s="5" t="s">
        <v>133</v>
      </c>
      <c r="K217" s="5" t="s">
        <v>186</v>
      </c>
      <c r="L217" s="6" t="n">
        <v>0</v>
      </c>
      <c r="M217" s="6" t="n">
        <v>0</v>
      </c>
      <c r="N217" s="6" t="n">
        <v>799</v>
      </c>
      <c r="O217" s="6" t="n">
        <v>0</v>
      </c>
      <c r="P217" s="6" t="n">
        <v>660.33</v>
      </c>
      <c r="Q217" s="6" t="n">
        <v>138.67</v>
      </c>
      <c r="R217" s="6" t="n">
        <f aca="false">P217+Q217</f>
        <v>799</v>
      </c>
      <c r="S217" s="6" t="n">
        <v>799</v>
      </c>
      <c r="T217" s="6" t="n">
        <v>550</v>
      </c>
      <c r="U217" s="6" t="n">
        <v>110.33</v>
      </c>
      <c r="V217" s="7" t="n">
        <f aca="false">IF(P217-(O217/1.21)=0,0,U217/(P217-(O217/1.21)))</f>
        <v>0.167083125104115</v>
      </c>
      <c r="W217" s="5" t="s">
        <v>153</v>
      </c>
      <c r="X217" s="5" t="s">
        <v>170</v>
      </c>
      <c r="Y217" s="5" t="s">
        <v>156</v>
      </c>
      <c r="Z217" s="11" t="n">
        <v>1</v>
      </c>
    </row>
    <row r="218" customFormat="false" ht="15" hidden="false" customHeight="false" outlineLevel="0" collapsed="false">
      <c r="A218" s="2" t="s">
        <v>416</v>
      </c>
      <c r="B218" s="8" t="n">
        <v>46090.5729166667</v>
      </c>
      <c r="C218" s="2" t="s">
        <v>126</v>
      </c>
      <c r="D218" s="2" t="s">
        <v>217</v>
      </c>
      <c r="E218" s="2" t="s">
        <v>218</v>
      </c>
      <c r="F218" s="2" t="s">
        <v>219</v>
      </c>
      <c r="G218" s="2" t="s">
        <v>220</v>
      </c>
      <c r="H218" s="2" t="s">
        <v>131</v>
      </c>
      <c r="I218" s="2" t="s">
        <v>132</v>
      </c>
      <c r="J218" s="2" t="s">
        <v>133</v>
      </c>
      <c r="K218" s="2" t="s">
        <v>200</v>
      </c>
      <c r="L218" s="3" t="n">
        <v>6.49</v>
      </c>
      <c r="M218" s="3" t="n">
        <v>0</v>
      </c>
      <c r="N218" s="3" t="n">
        <v>64.9</v>
      </c>
      <c r="O218" s="3" t="n">
        <v>4.95</v>
      </c>
      <c r="P218" s="3" t="n">
        <v>52.36</v>
      </c>
      <c r="Q218" s="3" t="n">
        <v>11</v>
      </c>
      <c r="R218" s="3" t="n">
        <f aca="false">P218+Q218</f>
        <v>63.36</v>
      </c>
      <c r="S218" s="3" t="n">
        <v>0</v>
      </c>
      <c r="T218" s="3" t="n">
        <v>28</v>
      </c>
      <c r="U218" s="3" t="n">
        <v>20.27</v>
      </c>
      <c r="V218" s="4" t="n">
        <f aca="false">IF(P218-(O218/1.21)=0,0,U218/(P218-(O218/1.21)))</f>
        <v>0.419937471749284</v>
      </c>
      <c r="W218" s="2" t="s">
        <v>145</v>
      </c>
      <c r="X218" s="2" t="s">
        <v>170</v>
      </c>
      <c r="Y218" s="2" t="s">
        <v>177</v>
      </c>
      <c r="Z218" s="9" t="n">
        <v>1</v>
      </c>
    </row>
    <row r="219" customFormat="false" ht="15" hidden="false" customHeight="false" outlineLevel="0" collapsed="false">
      <c r="A219" s="5" t="s">
        <v>417</v>
      </c>
      <c r="B219" s="10" t="n">
        <v>46090.6875</v>
      </c>
      <c r="C219" s="5" t="s">
        <v>138</v>
      </c>
      <c r="D219" s="5" t="s">
        <v>127</v>
      </c>
      <c r="E219" s="5" t="s">
        <v>128</v>
      </c>
      <c r="F219" s="5" t="s">
        <v>129</v>
      </c>
      <c r="G219" s="5" t="s">
        <v>130</v>
      </c>
      <c r="H219" s="5" t="s">
        <v>131</v>
      </c>
      <c r="I219" s="5" t="s">
        <v>132</v>
      </c>
      <c r="J219" s="5" t="s">
        <v>133</v>
      </c>
      <c r="K219" s="5" t="s">
        <v>168</v>
      </c>
      <c r="L219" s="6" t="n">
        <v>8.44</v>
      </c>
      <c r="M219" s="6" t="n">
        <v>0</v>
      </c>
      <c r="N219" s="6" t="n">
        <v>56.27</v>
      </c>
      <c r="O219" s="6" t="n">
        <v>0</v>
      </c>
      <c r="P219" s="6" t="n">
        <v>40.48</v>
      </c>
      <c r="Q219" s="6" t="n">
        <v>7.35</v>
      </c>
      <c r="R219" s="6" t="n">
        <f aca="false">P219+Q219</f>
        <v>47.83</v>
      </c>
      <c r="S219" s="6" t="n">
        <v>0</v>
      </c>
      <c r="T219" s="6" t="n">
        <v>21.3</v>
      </c>
      <c r="U219" s="6" t="n">
        <v>19.18</v>
      </c>
      <c r="V219" s="7" t="n">
        <f aca="false">IF(P219-(O219/1.21)=0,0,U219/(P219-(O219/1.21)))</f>
        <v>0.473814229249012</v>
      </c>
      <c r="W219" s="5" t="s">
        <v>134</v>
      </c>
      <c r="X219" s="5" t="s">
        <v>135</v>
      </c>
      <c r="Y219" s="5" t="s">
        <v>177</v>
      </c>
      <c r="Z219" s="11" t="n">
        <v>3</v>
      </c>
    </row>
    <row r="220" customFormat="false" ht="15" hidden="false" customHeight="false" outlineLevel="0" collapsed="false">
      <c r="A220" s="2" t="s">
        <v>418</v>
      </c>
      <c r="B220" s="8" t="n">
        <v>46092.3854166667</v>
      </c>
      <c r="C220" s="2" t="s">
        <v>126</v>
      </c>
      <c r="D220" s="2" t="s">
        <v>127</v>
      </c>
      <c r="E220" s="2" t="s">
        <v>128</v>
      </c>
      <c r="F220" s="2" t="s">
        <v>129</v>
      </c>
      <c r="G220" s="2" t="s">
        <v>130</v>
      </c>
      <c r="H220" s="2" t="s">
        <v>131</v>
      </c>
      <c r="I220" s="2" t="s">
        <v>185</v>
      </c>
      <c r="J220" s="2" t="s">
        <v>185</v>
      </c>
      <c r="K220" s="2" t="s">
        <v>144</v>
      </c>
      <c r="L220" s="3" t="n">
        <v>25.31</v>
      </c>
      <c r="M220" s="3" t="n">
        <v>1.2</v>
      </c>
      <c r="N220" s="3" t="n">
        <v>126.57</v>
      </c>
      <c r="O220" s="3" t="n">
        <v>4.95</v>
      </c>
      <c r="P220" s="3" t="n">
        <v>92.18</v>
      </c>
      <c r="Q220" s="3" t="n">
        <v>14.03</v>
      </c>
      <c r="R220" s="3" t="n">
        <f aca="false">P220+Q220</f>
        <v>106.21</v>
      </c>
      <c r="S220" s="3" t="n">
        <v>0</v>
      </c>
      <c r="T220" s="3" t="n">
        <v>57</v>
      </c>
      <c r="U220" s="3" t="n">
        <v>31.09</v>
      </c>
      <c r="V220" s="4" t="n">
        <f aca="false">IF(P220-(O220/1.21)=0,0,U220/(P220-(O220/1.21)))</f>
        <v>0.352938141138104</v>
      </c>
      <c r="W220" s="2" t="s">
        <v>162</v>
      </c>
      <c r="X220" s="2" t="s">
        <v>170</v>
      </c>
      <c r="Y220" s="2" t="s">
        <v>154</v>
      </c>
      <c r="Z220" s="9" t="n">
        <v>3</v>
      </c>
    </row>
    <row r="221" customFormat="false" ht="15" hidden="false" customHeight="false" outlineLevel="0" collapsed="false">
      <c r="A221" s="5" t="s">
        <v>419</v>
      </c>
      <c r="B221" s="10" t="n">
        <v>46095.5625</v>
      </c>
      <c r="C221" s="5" t="s">
        <v>138</v>
      </c>
      <c r="D221" s="5" t="s">
        <v>202</v>
      </c>
      <c r="E221" s="5" t="s">
        <v>203</v>
      </c>
      <c r="F221" s="5" t="s">
        <v>204</v>
      </c>
      <c r="G221" s="5" t="s">
        <v>205</v>
      </c>
      <c r="H221" s="5" t="s">
        <v>131</v>
      </c>
      <c r="I221" s="5" t="s">
        <v>132</v>
      </c>
      <c r="J221" s="5" t="s">
        <v>133</v>
      </c>
      <c r="K221" s="5" t="s">
        <v>200</v>
      </c>
      <c r="L221" s="6" t="n">
        <v>79.9</v>
      </c>
      <c r="M221" s="6" t="n">
        <v>0</v>
      </c>
      <c r="N221" s="6" t="n">
        <v>799</v>
      </c>
      <c r="O221" s="6" t="n">
        <v>0</v>
      </c>
      <c r="P221" s="6" t="n">
        <v>594.3</v>
      </c>
      <c r="Q221" s="6" t="n">
        <v>124.8</v>
      </c>
      <c r="R221" s="6" t="n">
        <f aca="false">P221+Q221</f>
        <v>719.1</v>
      </c>
      <c r="S221" s="6" t="n">
        <v>0</v>
      </c>
      <c r="T221" s="6" t="n">
        <v>550</v>
      </c>
      <c r="U221" s="6" t="n">
        <v>44.3</v>
      </c>
      <c r="V221" s="7" t="n">
        <f aca="false">IF(P221-(O221/1.21)=0,0,U221/(P221-(O221/1.21)))</f>
        <v>0.0745414773683325</v>
      </c>
      <c r="W221" s="5" t="s">
        <v>134</v>
      </c>
      <c r="X221" s="5" t="s">
        <v>135</v>
      </c>
      <c r="Y221" s="5" t="s">
        <v>156</v>
      </c>
      <c r="Z221" s="11" t="n">
        <v>1</v>
      </c>
    </row>
    <row r="222" customFormat="false" ht="15" hidden="false" customHeight="false" outlineLevel="0" collapsed="false">
      <c r="A222" s="2" t="s">
        <v>420</v>
      </c>
      <c r="B222" s="8" t="n">
        <v>46095.6041666667</v>
      </c>
      <c r="C222" s="2" t="s">
        <v>148</v>
      </c>
      <c r="D222" s="2" t="s">
        <v>179</v>
      </c>
      <c r="E222" s="2" t="s">
        <v>180</v>
      </c>
      <c r="F222" s="2" t="s">
        <v>181</v>
      </c>
      <c r="G222" s="2" t="s">
        <v>182</v>
      </c>
      <c r="H222" s="2" t="s">
        <v>131</v>
      </c>
      <c r="I222" s="2" t="s">
        <v>132</v>
      </c>
      <c r="J222" s="2" t="s">
        <v>133</v>
      </c>
      <c r="K222" s="2"/>
      <c r="L222" s="3" t="n">
        <v>0</v>
      </c>
      <c r="M222" s="3" t="n">
        <v>59.7</v>
      </c>
      <c r="N222" s="3" t="n">
        <v>338.3</v>
      </c>
      <c r="O222" s="3" t="n">
        <v>0</v>
      </c>
      <c r="P222" s="3" t="n">
        <v>279.59</v>
      </c>
      <c r="Q222" s="3" t="n">
        <v>58.71</v>
      </c>
      <c r="R222" s="3" t="n">
        <f aca="false">P222+Q222</f>
        <v>338.3</v>
      </c>
      <c r="S222" s="3" t="n">
        <v>0</v>
      </c>
      <c r="T222" s="3" t="n">
        <v>190</v>
      </c>
      <c r="U222" s="3" t="n">
        <v>89.59</v>
      </c>
      <c r="V222" s="4" t="n">
        <f aca="false">IF(P222-(O222/1.21)=0,0,U222/(P222-(O222/1.21)))</f>
        <v>0.320433491898852</v>
      </c>
      <c r="W222" s="2" t="s">
        <v>169</v>
      </c>
      <c r="X222" s="2" t="s">
        <v>135</v>
      </c>
      <c r="Y222" s="2" t="s">
        <v>136</v>
      </c>
      <c r="Z222" s="9" t="n">
        <v>1</v>
      </c>
    </row>
    <row r="223" customFormat="false" ht="15" hidden="false" customHeight="false" outlineLevel="0" collapsed="false">
      <c r="A223" s="5" t="s">
        <v>421</v>
      </c>
      <c r="B223" s="10" t="n">
        <v>46099.875</v>
      </c>
      <c r="C223" s="5" t="s">
        <v>148</v>
      </c>
      <c r="D223" s="5" t="s">
        <v>158</v>
      </c>
      <c r="E223" s="5" t="s">
        <v>159</v>
      </c>
      <c r="F223" s="5" t="s">
        <v>160</v>
      </c>
      <c r="G223" s="5" t="s">
        <v>161</v>
      </c>
      <c r="H223" s="5" t="s">
        <v>131</v>
      </c>
      <c r="I223" s="5" t="s">
        <v>132</v>
      </c>
      <c r="J223" s="5" t="s">
        <v>133</v>
      </c>
      <c r="K223" s="5"/>
      <c r="L223" s="6" t="n">
        <v>0</v>
      </c>
      <c r="M223" s="6" t="n">
        <v>0</v>
      </c>
      <c r="N223" s="6" t="n">
        <v>449</v>
      </c>
      <c r="O223" s="6" t="n">
        <v>4.95</v>
      </c>
      <c r="P223" s="6" t="n">
        <v>375.16</v>
      </c>
      <c r="Q223" s="6" t="n">
        <v>78.79</v>
      </c>
      <c r="R223" s="6" t="n">
        <f aca="false">P223+Q223</f>
        <v>453.95</v>
      </c>
      <c r="S223" s="6" t="n">
        <v>0</v>
      </c>
      <c r="T223" s="6" t="n">
        <v>360</v>
      </c>
      <c r="U223" s="6" t="n">
        <v>11.07</v>
      </c>
      <c r="V223" s="7" t="n">
        <f aca="false">IF(P223-(O223/1.21)=0,0,U223/(P223-(O223/1.21)))</f>
        <v>0.0298327192191604</v>
      </c>
      <c r="W223" s="5" t="s">
        <v>153</v>
      </c>
      <c r="X223" s="5" t="s">
        <v>170</v>
      </c>
      <c r="Y223" s="5" t="s">
        <v>154</v>
      </c>
      <c r="Z223" s="11" t="n">
        <v>1</v>
      </c>
    </row>
    <row r="224" customFormat="false" ht="15" hidden="false" customHeight="false" outlineLevel="0" collapsed="false">
      <c r="A224" s="2" t="s">
        <v>422</v>
      </c>
      <c r="B224" s="8" t="n">
        <v>46101.8125</v>
      </c>
      <c r="C224" s="2" t="s">
        <v>172</v>
      </c>
      <c r="D224" s="2" t="s">
        <v>127</v>
      </c>
      <c r="E224" s="2" t="s">
        <v>128</v>
      </c>
      <c r="F224" s="2" t="s">
        <v>129</v>
      </c>
      <c r="G224" s="2" t="s">
        <v>130</v>
      </c>
      <c r="H224" s="2" t="s">
        <v>131</v>
      </c>
      <c r="I224" s="2" t="s">
        <v>132</v>
      </c>
      <c r="J224" s="2" t="s">
        <v>133</v>
      </c>
      <c r="K224" s="2" t="s">
        <v>186</v>
      </c>
      <c r="L224" s="3" t="n">
        <v>0</v>
      </c>
      <c r="M224" s="3" t="n">
        <v>0</v>
      </c>
      <c r="N224" s="3" t="n">
        <v>15.98</v>
      </c>
      <c r="O224" s="3" t="n">
        <v>0</v>
      </c>
      <c r="P224" s="3" t="n">
        <v>14.53</v>
      </c>
      <c r="Q224" s="3" t="n">
        <v>1.45</v>
      </c>
      <c r="R224" s="3" t="n">
        <f aca="false">P224+Q224</f>
        <v>15.98</v>
      </c>
      <c r="S224" s="3" t="n">
        <v>0</v>
      </c>
      <c r="T224" s="3" t="n">
        <v>6.8</v>
      </c>
      <c r="U224" s="3" t="n">
        <v>7.73</v>
      </c>
      <c r="V224" s="4" t="n">
        <f aca="false">IF(P224-(O224/1.21)=0,0,U224/(P224-(O224/1.21)))</f>
        <v>0.532002752924983</v>
      </c>
      <c r="W224" s="2" t="s">
        <v>134</v>
      </c>
      <c r="X224" s="2" t="s">
        <v>170</v>
      </c>
      <c r="Y224" s="2" t="s">
        <v>177</v>
      </c>
      <c r="Z224" s="9" t="n">
        <v>1</v>
      </c>
    </row>
    <row r="225" customFormat="false" ht="15" hidden="false" customHeight="false" outlineLevel="0" collapsed="false">
      <c r="A225" s="5" t="s">
        <v>423</v>
      </c>
      <c r="B225" s="10" t="n">
        <v>46102.4375</v>
      </c>
      <c r="C225" s="5" t="s">
        <v>126</v>
      </c>
      <c r="D225" s="5" t="s">
        <v>139</v>
      </c>
      <c r="E225" s="5" t="s">
        <v>140</v>
      </c>
      <c r="F225" s="5" t="s">
        <v>141</v>
      </c>
      <c r="G225" s="5" t="s">
        <v>142</v>
      </c>
      <c r="H225" s="5" t="s">
        <v>143</v>
      </c>
      <c r="I225" s="5" t="s">
        <v>132</v>
      </c>
      <c r="J225" s="5" t="s">
        <v>133</v>
      </c>
      <c r="K225" s="5" t="s">
        <v>200</v>
      </c>
      <c r="L225" s="6" t="n">
        <v>29.15</v>
      </c>
      <c r="M225" s="6" t="n">
        <v>0</v>
      </c>
      <c r="N225" s="6" t="n">
        <v>291.49</v>
      </c>
      <c r="O225" s="6" t="n">
        <v>4.95</v>
      </c>
      <c r="P225" s="6" t="n">
        <v>221.09</v>
      </c>
      <c r="Q225" s="6" t="n">
        <v>46.2</v>
      </c>
      <c r="R225" s="6" t="n">
        <f aca="false">P225+Q225</f>
        <v>267.29</v>
      </c>
      <c r="S225" s="6" t="n">
        <v>0</v>
      </c>
      <c r="T225" s="6" t="n">
        <v>141.5</v>
      </c>
      <c r="U225" s="6" t="n">
        <v>75.5</v>
      </c>
      <c r="V225" s="7" t="n">
        <f aca="false">IF(P225-(O225/1.21)=0,0,U225/(P225-(O225/1.21)))</f>
        <v>0.347927724875261</v>
      </c>
      <c r="W225" s="5" t="s">
        <v>153</v>
      </c>
      <c r="X225" s="5" t="s">
        <v>170</v>
      </c>
      <c r="Y225" s="5" t="s">
        <v>136</v>
      </c>
      <c r="Z225" s="11" t="n">
        <v>2</v>
      </c>
    </row>
    <row r="226" customFormat="false" ht="15" hidden="false" customHeight="false" outlineLevel="0" collapsed="false">
      <c r="A226" s="2" t="s">
        <v>424</v>
      </c>
      <c r="B226" s="8" t="n">
        <v>46102.65625</v>
      </c>
      <c r="C226" s="2" t="s">
        <v>138</v>
      </c>
      <c r="D226" s="2" t="s">
        <v>202</v>
      </c>
      <c r="E226" s="2" t="s">
        <v>203</v>
      </c>
      <c r="F226" s="2" t="s">
        <v>204</v>
      </c>
      <c r="G226" s="2" t="s">
        <v>205</v>
      </c>
      <c r="H226" s="2" t="s">
        <v>131</v>
      </c>
      <c r="I226" s="2" t="s">
        <v>132</v>
      </c>
      <c r="J226" s="2" t="s">
        <v>133</v>
      </c>
      <c r="K226" s="2"/>
      <c r="L226" s="3" t="n">
        <v>0</v>
      </c>
      <c r="M226" s="3" t="n">
        <v>0</v>
      </c>
      <c r="N226" s="3" t="n">
        <v>119.8</v>
      </c>
      <c r="O226" s="3" t="n">
        <v>0</v>
      </c>
      <c r="P226" s="3" t="n">
        <v>99.01</v>
      </c>
      <c r="Q226" s="3" t="n">
        <v>20.79</v>
      </c>
      <c r="R226" s="3" t="n">
        <f aca="false">P226+Q226</f>
        <v>119.8</v>
      </c>
      <c r="S226" s="3" t="n">
        <v>0</v>
      </c>
      <c r="T226" s="3" t="n">
        <v>48</v>
      </c>
      <c r="U226" s="3" t="n">
        <v>51.01</v>
      </c>
      <c r="V226" s="4" t="n">
        <f aca="false">IF(P226-(O226/1.21)=0,0,U226/(P226-(O226/1.21)))</f>
        <v>0.515200484799515</v>
      </c>
      <c r="W226" s="2" t="s">
        <v>153</v>
      </c>
      <c r="X226" s="2" t="s">
        <v>135</v>
      </c>
      <c r="Y226" s="2" t="s">
        <v>156</v>
      </c>
      <c r="Z226" s="9" t="n">
        <v>1</v>
      </c>
    </row>
    <row r="227" customFormat="false" ht="15" hidden="false" customHeight="false" outlineLevel="0" collapsed="false">
      <c r="A227" s="5" t="s">
        <v>425</v>
      </c>
      <c r="B227" s="10" t="n">
        <v>46103.6458333333</v>
      </c>
      <c r="C227" s="5" t="s">
        <v>148</v>
      </c>
      <c r="D227" s="5" t="s">
        <v>173</v>
      </c>
      <c r="E227" s="5" t="s">
        <v>174</v>
      </c>
      <c r="F227" s="5" t="s">
        <v>175</v>
      </c>
      <c r="G227" s="5" t="s">
        <v>161</v>
      </c>
      <c r="H227" s="5" t="s">
        <v>131</v>
      </c>
      <c r="I227" s="5" t="s">
        <v>132</v>
      </c>
      <c r="J227" s="5" t="s">
        <v>133</v>
      </c>
      <c r="K227" s="5" t="s">
        <v>200</v>
      </c>
      <c r="L227" s="6" t="n">
        <v>3.6</v>
      </c>
      <c r="M227" s="6" t="n">
        <v>4</v>
      </c>
      <c r="N227" s="6" t="n">
        <v>35.95</v>
      </c>
      <c r="O227" s="6" t="n">
        <v>0</v>
      </c>
      <c r="P227" s="6" t="n">
        <v>29.41</v>
      </c>
      <c r="Q227" s="6" t="n">
        <v>2.94</v>
      </c>
      <c r="R227" s="6" t="n">
        <f aca="false">P227+Q227</f>
        <v>32.35</v>
      </c>
      <c r="S227" s="6" t="n">
        <v>0</v>
      </c>
      <c r="T227" s="6" t="n">
        <v>17</v>
      </c>
      <c r="U227" s="6" t="n">
        <v>12.41</v>
      </c>
      <c r="V227" s="7" t="n">
        <f aca="false">IF(P227-(O227/1.21)=0,0,U227/(P227-(O227/1.21)))</f>
        <v>0.421965317919075</v>
      </c>
      <c r="W227" s="5" t="s">
        <v>162</v>
      </c>
      <c r="X227" s="5" t="s">
        <v>135</v>
      </c>
      <c r="Y227" s="5" t="s">
        <v>154</v>
      </c>
      <c r="Z227" s="11" t="n">
        <v>1</v>
      </c>
    </row>
    <row r="228" customFormat="false" ht="15" hidden="false" customHeight="false" outlineLevel="0" collapsed="false">
      <c r="A228" s="2" t="s">
        <v>426</v>
      </c>
      <c r="B228" s="8" t="n">
        <v>46105.7604166667</v>
      </c>
      <c r="C228" s="2" t="s">
        <v>126</v>
      </c>
      <c r="D228" s="2" t="s">
        <v>127</v>
      </c>
      <c r="E228" s="2" t="s">
        <v>128</v>
      </c>
      <c r="F228" s="2" t="s">
        <v>129</v>
      </c>
      <c r="G228" s="2" t="s">
        <v>130</v>
      </c>
      <c r="H228" s="2" t="s">
        <v>131</v>
      </c>
      <c r="I228" s="2" t="s">
        <v>132</v>
      </c>
      <c r="J228" s="2" t="s">
        <v>133</v>
      </c>
      <c r="K228" s="2" t="s">
        <v>200</v>
      </c>
      <c r="L228" s="3" t="n">
        <v>2.29</v>
      </c>
      <c r="M228" s="3" t="n">
        <v>0</v>
      </c>
      <c r="N228" s="3" t="n">
        <v>22.9</v>
      </c>
      <c r="O228" s="3" t="n">
        <v>4.95</v>
      </c>
      <c r="P228" s="3" t="n">
        <v>21.12</v>
      </c>
      <c r="Q228" s="3" t="n">
        <v>4.44</v>
      </c>
      <c r="R228" s="3" t="n">
        <f aca="false">P228+Q228</f>
        <v>25.56</v>
      </c>
      <c r="S228" s="3" t="n">
        <v>0</v>
      </c>
      <c r="T228" s="3" t="n">
        <v>8</v>
      </c>
      <c r="U228" s="3" t="n">
        <v>9.03</v>
      </c>
      <c r="V228" s="4" t="n">
        <f aca="false">IF(P228-(O228/1.21)=0,0,U228/(P228-(O228/1.21)))</f>
        <v>0.530269058295964</v>
      </c>
      <c r="W228" s="2" t="s">
        <v>134</v>
      </c>
      <c r="X228" s="2" t="s">
        <v>170</v>
      </c>
      <c r="Y228" s="2" t="s">
        <v>136</v>
      </c>
      <c r="Z228" s="9" t="n">
        <v>1</v>
      </c>
    </row>
    <row r="229" customFormat="false" ht="15" hidden="false" customHeight="false" outlineLevel="0" collapsed="false">
      <c r="A229" s="5" t="s">
        <v>427</v>
      </c>
      <c r="B229" s="10" t="n">
        <v>46107.6875</v>
      </c>
      <c r="C229" s="5" t="s">
        <v>126</v>
      </c>
      <c r="D229" s="5" t="s">
        <v>127</v>
      </c>
      <c r="E229" s="5" t="s">
        <v>128</v>
      </c>
      <c r="F229" s="5" t="s">
        <v>129</v>
      </c>
      <c r="G229" s="5" t="s">
        <v>130</v>
      </c>
      <c r="H229" s="5" t="s">
        <v>131</v>
      </c>
      <c r="I229" s="5" t="s">
        <v>132</v>
      </c>
      <c r="J229" s="5" t="s">
        <v>133</v>
      </c>
      <c r="K229" s="5" t="s">
        <v>168</v>
      </c>
      <c r="L229" s="6" t="n">
        <v>56.62</v>
      </c>
      <c r="M229" s="6" t="n">
        <v>41.94</v>
      </c>
      <c r="N229" s="6" t="n">
        <v>377.46</v>
      </c>
      <c r="O229" s="6" t="n">
        <v>4.95</v>
      </c>
      <c r="P229" s="6" t="n">
        <v>269.25</v>
      </c>
      <c r="Q229" s="6" t="n">
        <v>56.54</v>
      </c>
      <c r="R229" s="6" t="n">
        <f aca="false">P229+Q229</f>
        <v>325.79</v>
      </c>
      <c r="S229" s="6" t="n">
        <v>0</v>
      </c>
      <c r="T229" s="6" t="n">
        <v>174</v>
      </c>
      <c r="U229" s="6" t="n">
        <v>91.16</v>
      </c>
      <c r="V229" s="7" t="n">
        <f aca="false">IF(P229-(O229/1.21)=0,0,U229/(P229-(O229/1.21)))</f>
        <v>0.343793605896974</v>
      </c>
      <c r="W229" s="5" t="s">
        <v>162</v>
      </c>
      <c r="X229" s="5" t="s">
        <v>170</v>
      </c>
      <c r="Y229" s="5" t="s">
        <v>136</v>
      </c>
      <c r="Z229" s="11" t="n">
        <v>1</v>
      </c>
    </row>
    <row r="230" customFormat="false" ht="15" hidden="false" customHeight="false" outlineLevel="0" collapsed="false">
      <c r="A230" s="2" t="s">
        <v>428</v>
      </c>
      <c r="B230" s="8" t="n">
        <v>46108.4375</v>
      </c>
      <c r="C230" s="2" t="s">
        <v>126</v>
      </c>
      <c r="D230" s="2" t="s">
        <v>158</v>
      </c>
      <c r="E230" s="2" t="s">
        <v>159</v>
      </c>
      <c r="F230" s="2" t="s">
        <v>160</v>
      </c>
      <c r="G230" s="2" t="s">
        <v>161</v>
      </c>
      <c r="H230" s="2" t="s">
        <v>131</v>
      </c>
      <c r="I230" s="2" t="s">
        <v>132</v>
      </c>
      <c r="J230" s="2" t="s">
        <v>133</v>
      </c>
      <c r="K230" s="2"/>
      <c r="L230" s="3" t="n">
        <v>0</v>
      </c>
      <c r="M230" s="3" t="n">
        <v>2.98</v>
      </c>
      <c r="N230" s="3" t="n">
        <v>251.02</v>
      </c>
      <c r="O230" s="3" t="n">
        <v>4.95</v>
      </c>
      <c r="P230" s="3" t="n">
        <v>211.55</v>
      </c>
      <c r="Q230" s="3" t="n">
        <v>44.42</v>
      </c>
      <c r="R230" s="3" t="n">
        <f aca="false">P230+Q230</f>
        <v>255.97</v>
      </c>
      <c r="S230" s="3" t="n">
        <v>0</v>
      </c>
      <c r="T230" s="3" t="n">
        <v>101.5</v>
      </c>
      <c r="U230" s="3" t="n">
        <v>105.96</v>
      </c>
      <c r="V230" s="4" t="n">
        <f aca="false">IF(P230-(O230/1.21)=0,0,U230/(P230-(O230/1.21)))</f>
        <v>0.510751298174887</v>
      </c>
      <c r="W230" s="2" t="s">
        <v>145</v>
      </c>
      <c r="X230" s="2" t="s">
        <v>170</v>
      </c>
      <c r="Y230" s="2" t="s">
        <v>154</v>
      </c>
      <c r="Z230" s="9" t="n">
        <v>3</v>
      </c>
    </row>
    <row r="231" customFormat="false" ht="15" hidden="false" customHeight="false" outlineLevel="0" collapsed="false">
      <c r="A231" s="5" t="s">
        <v>429</v>
      </c>
      <c r="B231" s="10" t="n">
        <v>46108.90625</v>
      </c>
      <c r="C231" s="5" t="s">
        <v>148</v>
      </c>
      <c r="D231" s="5" t="s">
        <v>149</v>
      </c>
      <c r="E231" s="5" t="s">
        <v>150</v>
      </c>
      <c r="F231" s="5" t="s">
        <v>151</v>
      </c>
      <c r="G231" s="5" t="s">
        <v>152</v>
      </c>
      <c r="H231" s="5" t="s">
        <v>131</v>
      </c>
      <c r="I231" s="5" t="s">
        <v>132</v>
      </c>
      <c r="J231" s="5" t="s">
        <v>133</v>
      </c>
      <c r="K231" s="5"/>
      <c r="L231" s="6" t="n">
        <v>0</v>
      </c>
      <c r="M231" s="6" t="n">
        <v>0</v>
      </c>
      <c r="N231" s="6" t="n">
        <v>49.8</v>
      </c>
      <c r="O231" s="6" t="n">
        <v>0</v>
      </c>
      <c r="P231" s="6" t="n">
        <v>41.16</v>
      </c>
      <c r="Q231" s="6" t="n">
        <v>8.64</v>
      </c>
      <c r="R231" s="6" t="n">
        <f aca="false">P231+Q231</f>
        <v>49.8</v>
      </c>
      <c r="S231" s="6" t="n">
        <v>0</v>
      </c>
      <c r="T231" s="6" t="n">
        <v>17</v>
      </c>
      <c r="U231" s="6" t="n">
        <v>24.16</v>
      </c>
      <c r="V231" s="7" t="n">
        <f aca="false">IF(P231-(O231/1.21)=0,0,U231/(P231-(O231/1.21)))</f>
        <v>0.586977648202138</v>
      </c>
      <c r="W231" s="5" t="s">
        <v>134</v>
      </c>
      <c r="X231" s="5" t="s">
        <v>135</v>
      </c>
      <c r="Y231" s="5" t="s">
        <v>177</v>
      </c>
      <c r="Z231" s="11" t="n">
        <v>1</v>
      </c>
    </row>
    <row r="232" customFormat="false" ht="15" hidden="false" customHeight="false" outlineLevel="0" collapsed="false">
      <c r="A232" s="2" t="s">
        <v>430</v>
      </c>
      <c r="B232" s="8" t="n">
        <v>46109.6875</v>
      </c>
      <c r="C232" s="2" t="s">
        <v>126</v>
      </c>
      <c r="D232" s="2" t="s">
        <v>139</v>
      </c>
      <c r="E232" s="2" t="s">
        <v>140</v>
      </c>
      <c r="F232" s="2" t="s">
        <v>141</v>
      </c>
      <c r="G232" s="2" t="s">
        <v>142</v>
      </c>
      <c r="H232" s="2" t="s">
        <v>143</v>
      </c>
      <c r="I232" s="2" t="s">
        <v>132</v>
      </c>
      <c r="J232" s="2" t="s">
        <v>133</v>
      </c>
      <c r="K232" s="2"/>
      <c r="L232" s="3" t="n">
        <v>0</v>
      </c>
      <c r="M232" s="3" t="n">
        <v>0</v>
      </c>
      <c r="N232" s="3" t="n">
        <v>69.7</v>
      </c>
      <c r="O232" s="3" t="n">
        <v>9.95</v>
      </c>
      <c r="P232" s="3" t="n">
        <v>65.83</v>
      </c>
      <c r="Q232" s="3" t="n">
        <v>13.82</v>
      </c>
      <c r="R232" s="3" t="n">
        <f aca="false">P232+Q232</f>
        <v>79.65</v>
      </c>
      <c r="S232" s="3" t="n">
        <v>0</v>
      </c>
      <c r="T232" s="3" t="n">
        <v>26.6</v>
      </c>
      <c r="U232" s="3" t="n">
        <v>31.01</v>
      </c>
      <c r="V232" s="4" t="n">
        <f aca="false">IF(P232-(O232/1.21)=0,0,U232/(P232-(O232/1.21)))</f>
        <v>0.538303949684596</v>
      </c>
      <c r="W232" s="2" t="s">
        <v>134</v>
      </c>
      <c r="X232" s="2" t="s">
        <v>146</v>
      </c>
      <c r="Y232" s="2" t="s">
        <v>154</v>
      </c>
      <c r="Z232" s="9" t="n">
        <v>2</v>
      </c>
    </row>
    <row r="233" customFormat="false" ht="15" hidden="false" customHeight="false" outlineLevel="0" collapsed="false">
      <c r="A233" s="5" t="s">
        <v>431</v>
      </c>
      <c r="B233" s="10" t="n">
        <v>46111.8020833333</v>
      </c>
      <c r="C233" s="5" t="s">
        <v>126</v>
      </c>
      <c r="D233" s="5" t="s">
        <v>149</v>
      </c>
      <c r="E233" s="5" t="s">
        <v>150</v>
      </c>
      <c r="F233" s="5" t="s">
        <v>151</v>
      </c>
      <c r="G233" s="5" t="s">
        <v>152</v>
      </c>
      <c r="H233" s="5" t="s">
        <v>131</v>
      </c>
      <c r="I233" s="5" t="s">
        <v>231</v>
      </c>
      <c r="J233" s="5" t="s">
        <v>133</v>
      </c>
      <c r="K233" s="5" t="s">
        <v>200</v>
      </c>
      <c r="L233" s="6" t="n">
        <v>27.8</v>
      </c>
      <c r="M233" s="6" t="n">
        <v>0</v>
      </c>
      <c r="N233" s="6" t="n">
        <v>278</v>
      </c>
      <c r="O233" s="6" t="n">
        <v>9.95</v>
      </c>
      <c r="P233" s="6" t="n">
        <v>215</v>
      </c>
      <c r="Q233" s="6" t="n">
        <v>45.15</v>
      </c>
      <c r="R233" s="6" t="n">
        <f aca="false">P233+Q233</f>
        <v>260.15</v>
      </c>
      <c r="S233" s="6" t="n">
        <v>260.15</v>
      </c>
      <c r="T233" s="6" t="n">
        <v>124</v>
      </c>
      <c r="U233" s="6" t="n">
        <v>82.78</v>
      </c>
      <c r="V233" s="7" t="n">
        <f aca="false">IF(P233-(O233/1.21)=0,0,U233/(P233-(O233/1.21)))</f>
        <v>0.400334932054357</v>
      </c>
      <c r="W233" s="5" t="s">
        <v>153</v>
      </c>
      <c r="X233" s="5" t="s">
        <v>146</v>
      </c>
      <c r="Y233" s="5" t="s">
        <v>154</v>
      </c>
      <c r="Z233" s="11" t="n">
        <v>1</v>
      </c>
    </row>
    <row r="234" customFormat="false" ht="15" hidden="false" customHeight="false" outlineLevel="0" collapsed="false">
      <c r="A234" s="2" t="s">
        <v>432</v>
      </c>
      <c r="B234" s="8" t="n">
        <v>46114.8229166667</v>
      </c>
      <c r="C234" s="2" t="s">
        <v>138</v>
      </c>
      <c r="D234" s="2" t="s">
        <v>173</v>
      </c>
      <c r="E234" s="2" t="s">
        <v>174</v>
      </c>
      <c r="F234" s="2" t="s">
        <v>175</v>
      </c>
      <c r="G234" s="2" t="s">
        <v>161</v>
      </c>
      <c r="H234" s="2" t="s">
        <v>131</v>
      </c>
      <c r="I234" s="2" t="s">
        <v>132</v>
      </c>
      <c r="J234" s="2" t="s">
        <v>133</v>
      </c>
      <c r="K234" s="2"/>
      <c r="L234" s="3" t="n">
        <v>0</v>
      </c>
      <c r="M234" s="3" t="n">
        <v>32.85</v>
      </c>
      <c r="N234" s="3" t="n">
        <v>321.93</v>
      </c>
      <c r="O234" s="3" t="n">
        <v>9.95</v>
      </c>
      <c r="P234" s="3" t="n">
        <v>275.59</v>
      </c>
      <c r="Q234" s="3" t="n">
        <v>56.29</v>
      </c>
      <c r="R234" s="3" t="n">
        <f aca="false">P234+Q234</f>
        <v>331.88</v>
      </c>
      <c r="S234" s="3" t="n">
        <v>0</v>
      </c>
      <c r="T234" s="3" t="n">
        <v>161.8</v>
      </c>
      <c r="U234" s="3" t="n">
        <v>105.57</v>
      </c>
      <c r="V234" s="4" t="n">
        <f aca="false">IF(P234-(O234/1.21)=0,0,U234/(P234-(O234/1.21)))</f>
        <v>0.39485073129779</v>
      </c>
      <c r="W234" s="2" t="s">
        <v>162</v>
      </c>
      <c r="X234" s="2" t="s">
        <v>146</v>
      </c>
      <c r="Y234" s="2" t="s">
        <v>136</v>
      </c>
      <c r="Z234" s="9" t="n">
        <v>4</v>
      </c>
    </row>
    <row r="235" customFormat="false" ht="15" hidden="false" customHeight="false" outlineLevel="0" collapsed="false">
      <c r="A235" s="5" t="s">
        <v>433</v>
      </c>
      <c r="B235" s="10" t="n">
        <v>46115.71875</v>
      </c>
      <c r="C235" s="5" t="s">
        <v>126</v>
      </c>
      <c r="D235" s="5" t="s">
        <v>139</v>
      </c>
      <c r="E235" s="5" t="s">
        <v>140</v>
      </c>
      <c r="F235" s="5" t="s">
        <v>141</v>
      </c>
      <c r="G235" s="5" t="s">
        <v>142</v>
      </c>
      <c r="H235" s="5" t="s">
        <v>143</v>
      </c>
      <c r="I235" s="5" t="s">
        <v>185</v>
      </c>
      <c r="J235" s="5" t="s">
        <v>185</v>
      </c>
      <c r="K235" s="5"/>
      <c r="L235" s="6" t="n">
        <v>0</v>
      </c>
      <c r="M235" s="6" t="n">
        <v>8.78</v>
      </c>
      <c r="N235" s="6" t="n">
        <v>82</v>
      </c>
      <c r="O235" s="6" t="n">
        <v>9.95</v>
      </c>
      <c r="P235" s="6" t="n">
        <v>76.45</v>
      </c>
      <c r="Q235" s="6" t="n">
        <v>15.5</v>
      </c>
      <c r="R235" s="6" t="n">
        <f aca="false">P235+Q235</f>
        <v>91.95</v>
      </c>
      <c r="S235" s="6" t="n">
        <v>0</v>
      </c>
      <c r="T235" s="6" t="n">
        <v>38.3</v>
      </c>
      <c r="U235" s="6" t="n">
        <v>29.93</v>
      </c>
      <c r="V235" s="7" t="n">
        <f aca="false">IF(P235-(O235/1.21)=0,0,U235/(P235-(O235/1.21)))</f>
        <v>0.438683536330545</v>
      </c>
      <c r="W235" s="5" t="s">
        <v>169</v>
      </c>
      <c r="X235" s="5" t="s">
        <v>146</v>
      </c>
      <c r="Y235" s="5" t="s">
        <v>177</v>
      </c>
      <c r="Z235" s="11" t="n">
        <v>3</v>
      </c>
    </row>
    <row r="236" customFormat="false" ht="15" hidden="false" customHeight="false" outlineLevel="0" collapsed="false">
      <c r="A236" s="2" t="s">
        <v>434</v>
      </c>
      <c r="B236" s="8" t="n">
        <v>46116.3958333333</v>
      </c>
      <c r="C236" s="2" t="s">
        <v>138</v>
      </c>
      <c r="D236" s="2" t="s">
        <v>164</v>
      </c>
      <c r="E236" s="2" t="s">
        <v>165</v>
      </c>
      <c r="F236" s="2" t="s">
        <v>166</v>
      </c>
      <c r="G236" s="2" t="s">
        <v>167</v>
      </c>
      <c r="H236" s="2" t="s">
        <v>131</v>
      </c>
      <c r="I236" s="2" t="s">
        <v>132</v>
      </c>
      <c r="J236" s="2" t="s">
        <v>133</v>
      </c>
      <c r="K236" s="2" t="s">
        <v>200</v>
      </c>
      <c r="L236" s="3" t="n">
        <v>43.92</v>
      </c>
      <c r="M236" s="3" t="n">
        <v>4.58</v>
      </c>
      <c r="N236" s="3" t="n">
        <v>439.22</v>
      </c>
      <c r="O236" s="3" t="n">
        <v>0</v>
      </c>
      <c r="P236" s="3" t="n">
        <v>326.69</v>
      </c>
      <c r="Q236" s="3" t="n">
        <v>68.61</v>
      </c>
      <c r="R236" s="3" t="n">
        <f aca="false">P236+Q236</f>
        <v>395.3</v>
      </c>
      <c r="S236" s="3" t="n">
        <v>0</v>
      </c>
      <c r="T236" s="3" t="n">
        <v>206</v>
      </c>
      <c r="U236" s="3" t="n">
        <v>120.69</v>
      </c>
      <c r="V236" s="4" t="n">
        <f aca="false">IF(P236-(O236/1.21)=0,0,U236/(P236-(O236/1.21)))</f>
        <v>0.36943279561664</v>
      </c>
      <c r="W236" s="2" t="s">
        <v>162</v>
      </c>
      <c r="X236" s="2" t="s">
        <v>135</v>
      </c>
      <c r="Y236" s="2" t="s">
        <v>136</v>
      </c>
      <c r="Z236" s="9" t="n">
        <v>2</v>
      </c>
    </row>
    <row r="237" customFormat="false" ht="15" hidden="false" customHeight="false" outlineLevel="0" collapsed="false">
      <c r="A237" s="5" t="s">
        <v>435</v>
      </c>
      <c r="B237" s="10" t="n">
        <v>46116.4791666667</v>
      </c>
      <c r="C237" s="5" t="s">
        <v>193</v>
      </c>
      <c r="D237" s="5" t="s">
        <v>217</v>
      </c>
      <c r="E237" s="5" t="s">
        <v>218</v>
      </c>
      <c r="F237" s="5" t="s">
        <v>219</v>
      </c>
      <c r="G237" s="5" t="s">
        <v>220</v>
      </c>
      <c r="H237" s="5" t="s">
        <v>131</v>
      </c>
      <c r="I237" s="5" t="s">
        <v>132</v>
      </c>
      <c r="J237" s="5" t="s">
        <v>133</v>
      </c>
      <c r="K237" s="5" t="s">
        <v>200</v>
      </c>
      <c r="L237" s="6" t="n">
        <v>76.41</v>
      </c>
      <c r="M237" s="6" t="n">
        <v>216.75</v>
      </c>
      <c r="N237" s="6" t="n">
        <v>764.07</v>
      </c>
      <c r="O237" s="6" t="n">
        <v>0</v>
      </c>
      <c r="P237" s="6" t="n">
        <v>570.09</v>
      </c>
      <c r="Q237" s="6" t="n">
        <v>117.57</v>
      </c>
      <c r="R237" s="6" t="n">
        <f aca="false">P237+Q237</f>
        <v>687.66</v>
      </c>
      <c r="S237" s="6" t="n">
        <v>0</v>
      </c>
      <c r="T237" s="6" t="n">
        <v>477.6</v>
      </c>
      <c r="U237" s="6" t="n">
        <v>92.49</v>
      </c>
      <c r="V237" s="7" t="n">
        <f aca="false">IF(P237-(O237/1.21)=0,0,U237/(P237-(O237/1.21)))</f>
        <v>0.162237541440825</v>
      </c>
      <c r="W237" s="5" t="s">
        <v>145</v>
      </c>
      <c r="X237" s="5" t="s">
        <v>135</v>
      </c>
      <c r="Y237" s="5" t="s">
        <v>154</v>
      </c>
      <c r="Z237" s="11" t="n">
        <v>3</v>
      </c>
    </row>
    <row r="238" customFormat="false" ht="15" hidden="false" customHeight="false" outlineLevel="0" collapsed="false">
      <c r="A238" s="2" t="s">
        <v>436</v>
      </c>
      <c r="B238" s="8" t="n">
        <v>46117.40625</v>
      </c>
      <c r="C238" s="2" t="s">
        <v>148</v>
      </c>
      <c r="D238" s="2" t="s">
        <v>223</v>
      </c>
      <c r="E238" s="2" t="s">
        <v>224</v>
      </c>
      <c r="F238" s="2" t="s">
        <v>225</v>
      </c>
      <c r="G238" s="2" t="s">
        <v>226</v>
      </c>
      <c r="H238" s="2" t="s">
        <v>131</v>
      </c>
      <c r="I238" s="2" t="s">
        <v>176</v>
      </c>
      <c r="J238" s="2" t="s">
        <v>133</v>
      </c>
      <c r="K238" s="2"/>
      <c r="L238" s="3" t="n">
        <v>0</v>
      </c>
      <c r="M238" s="3" t="n">
        <v>10.48</v>
      </c>
      <c r="N238" s="3" t="n">
        <v>59.42</v>
      </c>
      <c r="O238" s="3" t="n">
        <v>9.95</v>
      </c>
      <c r="P238" s="3" t="n">
        <v>57.33</v>
      </c>
      <c r="Q238" s="3" t="n">
        <v>12.04</v>
      </c>
      <c r="R238" s="3" t="n">
        <f aca="false">P238+Q238</f>
        <v>69.37</v>
      </c>
      <c r="S238" s="3" t="n">
        <v>59.42</v>
      </c>
      <c r="T238" s="3" t="n">
        <v>29</v>
      </c>
      <c r="U238" s="3" t="n">
        <v>20.11</v>
      </c>
      <c r="V238" s="4" t="n">
        <f aca="false">IF(P238-(O238/1.21)=0,0,U238/(P238-(O238/1.21)))</f>
        <v>0.409515090214796</v>
      </c>
      <c r="W238" s="2" t="s">
        <v>153</v>
      </c>
      <c r="X238" s="2" t="s">
        <v>146</v>
      </c>
      <c r="Y238" s="2" t="s">
        <v>156</v>
      </c>
      <c r="Z238" s="9" t="n">
        <v>1</v>
      </c>
    </row>
    <row r="239" customFormat="false" ht="15" hidden="false" customHeight="false" outlineLevel="0" collapsed="false">
      <c r="A239" s="5" t="s">
        <v>437</v>
      </c>
      <c r="B239" s="10" t="n">
        <v>46119.6041666667</v>
      </c>
      <c r="C239" s="5" t="s">
        <v>126</v>
      </c>
      <c r="D239" s="5" t="s">
        <v>173</v>
      </c>
      <c r="E239" s="5" t="s">
        <v>174</v>
      </c>
      <c r="F239" s="5" t="s">
        <v>175</v>
      </c>
      <c r="G239" s="5" t="s">
        <v>161</v>
      </c>
      <c r="H239" s="5" t="s">
        <v>131</v>
      </c>
      <c r="I239" s="5" t="s">
        <v>132</v>
      </c>
      <c r="J239" s="5" t="s">
        <v>133</v>
      </c>
      <c r="K239" s="5"/>
      <c r="L239" s="6" t="n">
        <v>0</v>
      </c>
      <c r="M239" s="6" t="n">
        <v>0</v>
      </c>
      <c r="N239" s="6" t="n">
        <v>72.19</v>
      </c>
      <c r="O239" s="6" t="n">
        <v>0</v>
      </c>
      <c r="P239" s="6" t="n">
        <v>59.87</v>
      </c>
      <c r="Q239" s="6" t="n">
        <v>12.32</v>
      </c>
      <c r="R239" s="6" t="n">
        <f aca="false">P239+Q239</f>
        <v>72.19</v>
      </c>
      <c r="S239" s="6" t="n">
        <v>0</v>
      </c>
      <c r="T239" s="6" t="n">
        <v>25.5</v>
      </c>
      <c r="U239" s="6" t="n">
        <v>34.37</v>
      </c>
      <c r="V239" s="7" t="n">
        <f aca="false">IF(P239-(O239/1.21)=0,0,U239/(P239-(O239/1.21)))</f>
        <v>0.57407716719559</v>
      </c>
      <c r="W239" s="5" t="s">
        <v>134</v>
      </c>
      <c r="X239" s="5" t="s">
        <v>135</v>
      </c>
      <c r="Y239" s="5" t="s">
        <v>177</v>
      </c>
      <c r="Z239" s="11" t="n">
        <v>3</v>
      </c>
    </row>
    <row r="240" customFormat="false" ht="15" hidden="false" customHeight="false" outlineLevel="0" collapsed="false">
      <c r="A240" s="2" t="s">
        <v>438</v>
      </c>
      <c r="B240" s="8" t="n">
        <v>46120.6770833333</v>
      </c>
      <c r="C240" s="2" t="s">
        <v>193</v>
      </c>
      <c r="D240" s="2" t="s">
        <v>258</v>
      </c>
      <c r="E240" s="2" t="s">
        <v>259</v>
      </c>
      <c r="F240" s="2" t="s">
        <v>260</v>
      </c>
      <c r="G240" s="2" t="s">
        <v>261</v>
      </c>
      <c r="H240" s="2" t="s">
        <v>131</v>
      </c>
      <c r="I240" s="2" t="s">
        <v>132</v>
      </c>
      <c r="J240" s="2" t="s">
        <v>133</v>
      </c>
      <c r="K240" s="2"/>
      <c r="L240" s="3" t="n">
        <v>0</v>
      </c>
      <c r="M240" s="3" t="n">
        <v>1.14</v>
      </c>
      <c r="N240" s="3" t="n">
        <v>41.66</v>
      </c>
      <c r="O240" s="3" t="n">
        <v>9.95</v>
      </c>
      <c r="P240" s="3" t="n">
        <v>42.65</v>
      </c>
      <c r="Q240" s="3" t="n">
        <v>8.96</v>
      </c>
      <c r="R240" s="3" t="n">
        <f aca="false">P240+Q240</f>
        <v>51.61</v>
      </c>
      <c r="S240" s="3" t="n">
        <v>0</v>
      </c>
      <c r="T240" s="3" t="n">
        <v>15</v>
      </c>
      <c r="U240" s="3" t="n">
        <v>19.43</v>
      </c>
      <c r="V240" s="4" t="n">
        <f aca="false">IF(P240-(O240/1.21)=0,0,U240/(P240-(O240/1.21)))</f>
        <v>0.56438490991802</v>
      </c>
      <c r="W240" s="2" t="s">
        <v>153</v>
      </c>
      <c r="X240" s="2" t="s">
        <v>146</v>
      </c>
      <c r="Y240" s="2" t="s">
        <v>156</v>
      </c>
      <c r="Z240" s="9" t="n">
        <v>2</v>
      </c>
    </row>
    <row r="241" customFormat="false" ht="15" hidden="false" customHeight="false" outlineLevel="0" collapsed="false">
      <c r="A241" s="5" t="s">
        <v>439</v>
      </c>
      <c r="B241" s="10" t="n">
        <v>46122.5</v>
      </c>
      <c r="C241" s="5" t="s">
        <v>138</v>
      </c>
      <c r="D241" s="5" t="s">
        <v>217</v>
      </c>
      <c r="E241" s="5" t="s">
        <v>218</v>
      </c>
      <c r="F241" s="5" t="s">
        <v>219</v>
      </c>
      <c r="G241" s="5" t="s">
        <v>220</v>
      </c>
      <c r="H241" s="5" t="s">
        <v>131</v>
      </c>
      <c r="I241" s="5" t="s">
        <v>132</v>
      </c>
      <c r="J241" s="5" t="s">
        <v>133</v>
      </c>
      <c r="K241" s="5" t="s">
        <v>144</v>
      </c>
      <c r="L241" s="6" t="n">
        <v>1.6</v>
      </c>
      <c r="M241" s="6" t="n">
        <v>0</v>
      </c>
      <c r="N241" s="6" t="n">
        <v>7.99</v>
      </c>
      <c r="O241" s="6" t="n">
        <v>0</v>
      </c>
      <c r="P241" s="6" t="n">
        <v>5.81</v>
      </c>
      <c r="Q241" s="6" t="n">
        <v>0.58</v>
      </c>
      <c r="R241" s="6" t="n">
        <f aca="false">P241+Q241</f>
        <v>6.39</v>
      </c>
      <c r="S241" s="6" t="n">
        <v>0</v>
      </c>
      <c r="T241" s="6" t="n">
        <v>3.4</v>
      </c>
      <c r="U241" s="6" t="n">
        <v>2.41</v>
      </c>
      <c r="V241" s="7" t="n">
        <f aca="false">IF(P241-(O241/1.21)=0,0,U241/(P241-(O241/1.21)))</f>
        <v>0.414802065404475</v>
      </c>
      <c r="W241" s="5" t="s">
        <v>153</v>
      </c>
      <c r="X241" s="5" t="s">
        <v>135</v>
      </c>
      <c r="Y241" s="5" t="s">
        <v>156</v>
      </c>
      <c r="Z241" s="11" t="n">
        <v>1</v>
      </c>
    </row>
    <row r="242" customFormat="false" ht="15" hidden="false" customHeight="false" outlineLevel="0" collapsed="false">
      <c r="A242" s="2" t="s">
        <v>440</v>
      </c>
      <c r="B242" s="8" t="n">
        <v>46123.6041666667</v>
      </c>
      <c r="C242" s="2" t="s">
        <v>126</v>
      </c>
      <c r="D242" s="2" t="s">
        <v>202</v>
      </c>
      <c r="E242" s="2" t="s">
        <v>203</v>
      </c>
      <c r="F242" s="2" t="s">
        <v>204</v>
      </c>
      <c r="G242" s="2" t="s">
        <v>205</v>
      </c>
      <c r="H242" s="2" t="s">
        <v>131</v>
      </c>
      <c r="I242" s="2" t="s">
        <v>132</v>
      </c>
      <c r="J242" s="2" t="s">
        <v>133</v>
      </c>
      <c r="K242" s="2"/>
      <c r="L242" s="3" t="n">
        <v>0</v>
      </c>
      <c r="M242" s="3" t="n">
        <v>0</v>
      </c>
      <c r="N242" s="3" t="n">
        <v>4.98</v>
      </c>
      <c r="O242" s="3" t="n">
        <v>9.95</v>
      </c>
      <c r="P242" s="3" t="n">
        <v>12.75</v>
      </c>
      <c r="Q242" s="3" t="n">
        <v>2.18</v>
      </c>
      <c r="R242" s="3" t="n">
        <f aca="false">P242+Q242</f>
        <v>14.93</v>
      </c>
      <c r="S242" s="3" t="n">
        <v>0</v>
      </c>
      <c r="T242" s="3" t="n">
        <v>3</v>
      </c>
      <c r="U242" s="3" t="n">
        <v>1.53</v>
      </c>
      <c r="V242" s="4" t="n">
        <f aca="false">IF(P242-(O242/1.21)=0,0,U242/(P242-(O242/1.21)))</f>
        <v>0.337982656321315</v>
      </c>
      <c r="W242" s="2" t="s">
        <v>169</v>
      </c>
      <c r="X242" s="2" t="s">
        <v>146</v>
      </c>
      <c r="Y242" s="2" t="s">
        <v>177</v>
      </c>
      <c r="Z242" s="9" t="n">
        <v>1</v>
      </c>
    </row>
    <row r="243" customFormat="false" ht="15" hidden="false" customHeight="false" outlineLevel="0" collapsed="false">
      <c r="A243" s="5" t="s">
        <v>441</v>
      </c>
      <c r="B243" s="10" t="n">
        <v>46126.3854166667</v>
      </c>
      <c r="C243" s="5" t="s">
        <v>172</v>
      </c>
      <c r="D243" s="5" t="s">
        <v>188</v>
      </c>
      <c r="E243" s="5" t="s">
        <v>189</v>
      </c>
      <c r="F243" s="5" t="s">
        <v>190</v>
      </c>
      <c r="G243" s="5" t="s">
        <v>191</v>
      </c>
      <c r="H243" s="5" t="s">
        <v>131</v>
      </c>
      <c r="I243" s="5" t="s">
        <v>132</v>
      </c>
      <c r="J243" s="5" t="s">
        <v>133</v>
      </c>
      <c r="K243" s="5"/>
      <c r="L243" s="6" t="n">
        <v>0</v>
      </c>
      <c r="M243" s="6" t="n">
        <v>0</v>
      </c>
      <c r="N243" s="6" t="n">
        <v>18.9</v>
      </c>
      <c r="O243" s="6" t="n">
        <v>4.95</v>
      </c>
      <c r="P243" s="6" t="n">
        <v>19.71</v>
      </c>
      <c r="Q243" s="6" t="n">
        <v>4.14</v>
      </c>
      <c r="R243" s="6" t="n">
        <f aca="false">P243+Q243</f>
        <v>23.85</v>
      </c>
      <c r="S243" s="6" t="n">
        <v>0</v>
      </c>
      <c r="T243" s="6" t="n">
        <v>6.5</v>
      </c>
      <c r="U243" s="6" t="n">
        <v>9.12</v>
      </c>
      <c r="V243" s="7" t="n">
        <f aca="false">IF(P243-(O243/1.21)=0,0,U243/(P243-(O243/1.21)))</f>
        <v>0.583900820674</v>
      </c>
      <c r="W243" s="5" t="s">
        <v>153</v>
      </c>
      <c r="X243" s="5" t="s">
        <v>170</v>
      </c>
      <c r="Y243" s="5" t="s">
        <v>177</v>
      </c>
      <c r="Z243" s="11" t="n">
        <v>1</v>
      </c>
    </row>
    <row r="244" customFormat="false" ht="15" hidden="false" customHeight="false" outlineLevel="0" collapsed="false">
      <c r="A244" s="2" t="s">
        <v>442</v>
      </c>
      <c r="B244" s="8" t="n">
        <v>46128.6041666667</v>
      </c>
      <c r="C244" s="2" t="s">
        <v>126</v>
      </c>
      <c r="D244" s="2" t="s">
        <v>217</v>
      </c>
      <c r="E244" s="2" t="s">
        <v>218</v>
      </c>
      <c r="F244" s="2" t="s">
        <v>219</v>
      </c>
      <c r="G244" s="2" t="s">
        <v>220</v>
      </c>
      <c r="H244" s="2" t="s">
        <v>131</v>
      </c>
      <c r="I244" s="2" t="s">
        <v>132</v>
      </c>
      <c r="J244" s="2" t="s">
        <v>133</v>
      </c>
      <c r="K244" s="2" t="s">
        <v>168</v>
      </c>
      <c r="L244" s="3" t="n">
        <v>8.86</v>
      </c>
      <c r="M244" s="3" t="n">
        <v>0.64</v>
      </c>
      <c r="N244" s="3" t="n">
        <v>59.04</v>
      </c>
      <c r="O244" s="3" t="n">
        <v>9.95</v>
      </c>
      <c r="P244" s="3" t="n">
        <v>50.32</v>
      </c>
      <c r="Q244" s="3" t="n">
        <v>9.81</v>
      </c>
      <c r="R244" s="3" t="n">
        <f aca="false">P244+Q244</f>
        <v>60.13</v>
      </c>
      <c r="S244" s="3" t="n">
        <v>0</v>
      </c>
      <c r="T244" s="3" t="n">
        <v>19.3</v>
      </c>
      <c r="U244" s="3" t="n">
        <v>22.8</v>
      </c>
      <c r="V244" s="4" t="n">
        <f aca="false">IF(P244-(O244/1.21)=0,0,U244/(P244-(O244/1.21)))</f>
        <v>0.541608097814564</v>
      </c>
      <c r="W244" s="2" t="s">
        <v>145</v>
      </c>
      <c r="X244" s="2" t="s">
        <v>146</v>
      </c>
      <c r="Y244" s="2" t="s">
        <v>154</v>
      </c>
      <c r="Z244" s="9" t="n">
        <v>3</v>
      </c>
    </row>
    <row r="245" customFormat="false" ht="15" hidden="false" customHeight="false" outlineLevel="0" collapsed="false">
      <c r="A245" s="5" t="s">
        <v>443</v>
      </c>
      <c r="B245" s="10" t="n">
        <v>46129.8645833333</v>
      </c>
      <c r="C245" s="5" t="s">
        <v>138</v>
      </c>
      <c r="D245" s="5" t="s">
        <v>179</v>
      </c>
      <c r="E245" s="5" t="s">
        <v>180</v>
      </c>
      <c r="F245" s="5" t="s">
        <v>181</v>
      </c>
      <c r="G245" s="5" t="s">
        <v>182</v>
      </c>
      <c r="H245" s="5" t="s">
        <v>131</v>
      </c>
      <c r="I245" s="5" t="s">
        <v>185</v>
      </c>
      <c r="J245" s="5" t="s">
        <v>185</v>
      </c>
      <c r="K245" s="5"/>
      <c r="L245" s="6" t="n">
        <v>0</v>
      </c>
      <c r="M245" s="6" t="n">
        <v>0</v>
      </c>
      <c r="N245" s="6" t="n">
        <v>69.9</v>
      </c>
      <c r="O245" s="6" t="n">
        <v>0</v>
      </c>
      <c r="P245" s="6" t="n">
        <v>57.77</v>
      </c>
      <c r="Q245" s="6" t="n">
        <v>12.13</v>
      </c>
      <c r="R245" s="6" t="n">
        <f aca="false">P245+Q245</f>
        <v>69.9</v>
      </c>
      <c r="S245" s="6" t="n">
        <v>0</v>
      </c>
      <c r="T245" s="6" t="n">
        <v>29</v>
      </c>
      <c r="U245" s="6" t="n">
        <v>28.77</v>
      </c>
      <c r="V245" s="7" t="n">
        <f aca="false">IF(P245-(O245/1.21)=0,0,U245/(P245-(O245/1.21)))</f>
        <v>0.498009347412152</v>
      </c>
      <c r="W245" s="5" t="s">
        <v>162</v>
      </c>
      <c r="X245" s="5" t="s">
        <v>135</v>
      </c>
      <c r="Y245" s="5" t="s">
        <v>136</v>
      </c>
      <c r="Z245" s="11" t="n">
        <v>1</v>
      </c>
    </row>
    <row r="246" customFormat="false" ht="15" hidden="false" customHeight="false" outlineLevel="0" collapsed="false">
      <c r="A246" s="2" t="s">
        <v>444</v>
      </c>
      <c r="B246" s="8" t="n">
        <v>46130.84375</v>
      </c>
      <c r="C246" s="2" t="s">
        <v>126</v>
      </c>
      <c r="D246" s="2" t="s">
        <v>217</v>
      </c>
      <c r="E246" s="2" t="s">
        <v>218</v>
      </c>
      <c r="F246" s="2" t="s">
        <v>219</v>
      </c>
      <c r="G246" s="2" t="s">
        <v>220</v>
      </c>
      <c r="H246" s="2" t="s">
        <v>131</v>
      </c>
      <c r="I246" s="2" t="s">
        <v>132</v>
      </c>
      <c r="J246" s="2" t="s">
        <v>133</v>
      </c>
      <c r="K246" s="2" t="s">
        <v>186</v>
      </c>
      <c r="L246" s="3" t="n">
        <v>0</v>
      </c>
      <c r="M246" s="3" t="n">
        <v>2.49</v>
      </c>
      <c r="N246" s="3" t="n">
        <v>186.31</v>
      </c>
      <c r="O246" s="3" t="n">
        <v>0</v>
      </c>
      <c r="P246" s="3" t="n">
        <v>153.98</v>
      </c>
      <c r="Q246" s="3" t="n">
        <v>32.33</v>
      </c>
      <c r="R246" s="3" t="n">
        <f aca="false">P246+Q246</f>
        <v>186.31</v>
      </c>
      <c r="S246" s="3" t="n">
        <v>0</v>
      </c>
      <c r="T246" s="3" t="n">
        <v>81.6</v>
      </c>
      <c r="U246" s="3" t="n">
        <v>72.38</v>
      </c>
      <c r="V246" s="4" t="n">
        <f aca="false">IF(P246-(O246/1.21)=0,0,U246/(P246-(O246/1.21)))</f>
        <v>0.470061046889206</v>
      </c>
      <c r="W246" s="2" t="s">
        <v>134</v>
      </c>
      <c r="X246" s="2" t="s">
        <v>146</v>
      </c>
      <c r="Y246" s="2" t="s">
        <v>136</v>
      </c>
      <c r="Z246" s="9" t="n">
        <v>2</v>
      </c>
    </row>
    <row r="247" customFormat="false" ht="15" hidden="false" customHeight="false" outlineLevel="0" collapsed="false">
      <c r="A247" s="5" t="s">
        <v>445</v>
      </c>
      <c r="B247" s="10" t="n">
        <v>46130.875</v>
      </c>
      <c r="C247" s="5" t="s">
        <v>126</v>
      </c>
      <c r="D247" s="5" t="s">
        <v>217</v>
      </c>
      <c r="E247" s="5" t="s">
        <v>218</v>
      </c>
      <c r="F247" s="5" t="s">
        <v>219</v>
      </c>
      <c r="G247" s="5" t="s">
        <v>220</v>
      </c>
      <c r="H247" s="5" t="s">
        <v>131</v>
      </c>
      <c r="I247" s="5" t="s">
        <v>132</v>
      </c>
      <c r="J247" s="5" t="s">
        <v>133</v>
      </c>
      <c r="K247" s="5" t="s">
        <v>144</v>
      </c>
      <c r="L247" s="6" t="n">
        <v>1</v>
      </c>
      <c r="M247" s="6" t="n">
        <v>0</v>
      </c>
      <c r="N247" s="6" t="n">
        <v>4.98</v>
      </c>
      <c r="O247" s="6" t="n">
        <v>4.95</v>
      </c>
      <c r="P247" s="6" t="n">
        <v>7.71</v>
      </c>
      <c r="Q247" s="6" t="n">
        <v>1.22</v>
      </c>
      <c r="R247" s="6" t="n">
        <f aca="false">P247+Q247</f>
        <v>8.93</v>
      </c>
      <c r="S247" s="6" t="n">
        <v>0</v>
      </c>
      <c r="T247" s="6" t="n">
        <v>3</v>
      </c>
      <c r="U247" s="6" t="n">
        <v>0.62</v>
      </c>
      <c r="V247" s="7" t="n">
        <f aca="false">IF(P247-(O247/1.21)=0,0,U247/(P247-(O247/1.21)))</f>
        <v>0.171313740266265</v>
      </c>
      <c r="W247" s="5" t="s">
        <v>169</v>
      </c>
      <c r="X247" s="5" t="s">
        <v>170</v>
      </c>
      <c r="Y247" s="5" t="s">
        <v>154</v>
      </c>
      <c r="Z247" s="11" t="n">
        <v>1</v>
      </c>
    </row>
    <row r="248" customFormat="false" ht="15" hidden="false" customHeight="false" outlineLevel="0" collapsed="false">
      <c r="A248" s="2" t="s">
        <v>446</v>
      </c>
      <c r="B248" s="8" t="n">
        <v>46131.6354166667</v>
      </c>
      <c r="C248" s="2" t="s">
        <v>126</v>
      </c>
      <c r="D248" s="2" t="s">
        <v>139</v>
      </c>
      <c r="E248" s="2" t="s">
        <v>140</v>
      </c>
      <c r="F248" s="2" t="s">
        <v>141</v>
      </c>
      <c r="G248" s="2" t="s">
        <v>142</v>
      </c>
      <c r="H248" s="2" t="s">
        <v>143</v>
      </c>
      <c r="I248" s="2" t="s">
        <v>132</v>
      </c>
      <c r="J248" s="2" t="s">
        <v>133</v>
      </c>
      <c r="K248" s="2" t="s">
        <v>200</v>
      </c>
      <c r="L248" s="3" t="n">
        <v>0.39</v>
      </c>
      <c r="M248" s="3" t="n">
        <v>0</v>
      </c>
      <c r="N248" s="3" t="n">
        <v>3.9</v>
      </c>
      <c r="O248" s="3" t="n">
        <v>4.95</v>
      </c>
      <c r="P248" s="3" t="n">
        <v>7.28</v>
      </c>
      <c r="Q248" s="3" t="n">
        <v>1.18</v>
      </c>
      <c r="R248" s="3" t="n">
        <f aca="false">P248+Q248</f>
        <v>8.46</v>
      </c>
      <c r="S248" s="3" t="n">
        <v>0</v>
      </c>
      <c r="T248" s="3" t="n">
        <v>2.5</v>
      </c>
      <c r="U248" s="3" t="n">
        <v>0.69</v>
      </c>
      <c r="V248" s="4" t="n">
        <f aca="false">IF(P248-(O248/1.21)=0,0,U248/(P248-(O248/1.21)))</f>
        <v>0.21636259977195</v>
      </c>
      <c r="W248" s="2" t="s">
        <v>169</v>
      </c>
      <c r="X248" s="2" t="s">
        <v>170</v>
      </c>
      <c r="Y248" s="2" t="s">
        <v>136</v>
      </c>
      <c r="Z248" s="9" t="n">
        <v>1</v>
      </c>
    </row>
    <row r="249" customFormat="false" ht="15" hidden="false" customHeight="false" outlineLevel="0" collapsed="false">
      <c r="A249" s="5" t="s">
        <v>447</v>
      </c>
      <c r="B249" s="10" t="n">
        <v>46132.6875</v>
      </c>
      <c r="C249" s="5" t="s">
        <v>138</v>
      </c>
      <c r="D249" s="5" t="s">
        <v>223</v>
      </c>
      <c r="E249" s="5" t="s">
        <v>224</v>
      </c>
      <c r="F249" s="5" t="s">
        <v>225</v>
      </c>
      <c r="G249" s="5" t="s">
        <v>226</v>
      </c>
      <c r="H249" s="5" t="s">
        <v>131</v>
      </c>
      <c r="I249" s="5" t="s">
        <v>132</v>
      </c>
      <c r="J249" s="5" t="s">
        <v>133</v>
      </c>
      <c r="K249" s="5" t="s">
        <v>200</v>
      </c>
      <c r="L249" s="6" t="n">
        <v>5.67</v>
      </c>
      <c r="M249" s="6" t="n">
        <v>2.98</v>
      </c>
      <c r="N249" s="6" t="n">
        <v>56.72</v>
      </c>
      <c r="O249" s="6" t="n">
        <v>0</v>
      </c>
      <c r="P249" s="6" t="n">
        <v>42.19</v>
      </c>
      <c r="Q249" s="6" t="n">
        <v>8.86</v>
      </c>
      <c r="R249" s="6" t="n">
        <f aca="false">P249+Q249</f>
        <v>51.05</v>
      </c>
      <c r="S249" s="6" t="n">
        <v>0</v>
      </c>
      <c r="T249" s="6" t="n">
        <v>23.7</v>
      </c>
      <c r="U249" s="6" t="n">
        <v>18.49</v>
      </c>
      <c r="V249" s="7" t="n">
        <f aca="false">IF(P249-(O249/1.21)=0,0,U249/(P249-(O249/1.21)))</f>
        <v>0.438255510784546</v>
      </c>
      <c r="W249" s="5" t="s">
        <v>153</v>
      </c>
      <c r="X249" s="5" t="s">
        <v>135</v>
      </c>
      <c r="Y249" s="5" t="s">
        <v>177</v>
      </c>
      <c r="Z249" s="11" t="n">
        <v>1</v>
      </c>
    </row>
    <row r="250" customFormat="false" ht="15" hidden="false" customHeight="false" outlineLevel="0" collapsed="false">
      <c r="A250" s="2" t="s">
        <v>448</v>
      </c>
      <c r="B250" s="8" t="n">
        <v>46132.8020833333</v>
      </c>
      <c r="C250" s="2" t="s">
        <v>126</v>
      </c>
      <c r="D250" s="2" t="s">
        <v>202</v>
      </c>
      <c r="E250" s="2" t="s">
        <v>203</v>
      </c>
      <c r="F250" s="2" t="s">
        <v>204</v>
      </c>
      <c r="G250" s="2" t="s">
        <v>205</v>
      </c>
      <c r="H250" s="2" t="s">
        <v>131</v>
      </c>
      <c r="I250" s="2" t="s">
        <v>185</v>
      </c>
      <c r="J250" s="2" t="s">
        <v>185</v>
      </c>
      <c r="K250" s="2"/>
      <c r="L250" s="3" t="n">
        <v>0</v>
      </c>
      <c r="M250" s="3" t="n">
        <v>0.58</v>
      </c>
      <c r="N250" s="3" t="n">
        <v>474.61</v>
      </c>
      <c r="O250" s="3" t="n">
        <v>4.95</v>
      </c>
      <c r="P250" s="3" t="n">
        <v>396.81</v>
      </c>
      <c r="Q250" s="3" t="n">
        <v>82.75</v>
      </c>
      <c r="R250" s="3" t="n">
        <f aca="false">P250+Q250</f>
        <v>479.56</v>
      </c>
      <c r="S250" s="3" t="n">
        <v>0</v>
      </c>
      <c r="T250" s="3" t="n">
        <v>240</v>
      </c>
      <c r="U250" s="3" t="n">
        <v>152.72</v>
      </c>
      <c r="V250" s="4" t="n">
        <f aca="false">IF(P250-(O250/1.21)=0,0,U250/(P250-(O250/1.21)))</f>
        <v>0.388878472005204</v>
      </c>
      <c r="W250" s="2" t="s">
        <v>169</v>
      </c>
      <c r="X250" s="2" t="s">
        <v>170</v>
      </c>
      <c r="Y250" s="2" t="s">
        <v>156</v>
      </c>
      <c r="Z250" s="9" t="n">
        <v>4</v>
      </c>
    </row>
    <row r="251" customFormat="false" ht="15" hidden="false" customHeight="false" outlineLevel="0" collapsed="false">
      <c r="A251" s="5" t="s">
        <v>449</v>
      </c>
      <c r="B251" s="10" t="n">
        <v>46135.5416666667</v>
      </c>
      <c r="C251" s="5" t="s">
        <v>126</v>
      </c>
      <c r="D251" s="5" t="s">
        <v>258</v>
      </c>
      <c r="E251" s="5" t="s">
        <v>259</v>
      </c>
      <c r="F251" s="5" t="s">
        <v>260</v>
      </c>
      <c r="G251" s="5" t="s">
        <v>261</v>
      </c>
      <c r="H251" s="5" t="s">
        <v>131</v>
      </c>
      <c r="I251" s="5" t="s">
        <v>185</v>
      </c>
      <c r="J251" s="5" t="s">
        <v>185</v>
      </c>
      <c r="K251" s="5" t="s">
        <v>200</v>
      </c>
      <c r="L251" s="6" t="n">
        <v>6.49</v>
      </c>
      <c r="M251" s="6" t="n">
        <v>0</v>
      </c>
      <c r="N251" s="6" t="n">
        <v>64.9</v>
      </c>
      <c r="O251" s="6" t="n">
        <v>0</v>
      </c>
      <c r="P251" s="6" t="n">
        <v>48.27</v>
      </c>
      <c r="Q251" s="6" t="n">
        <v>10.14</v>
      </c>
      <c r="R251" s="6" t="n">
        <f aca="false">P251+Q251</f>
        <v>58.41</v>
      </c>
      <c r="S251" s="6" t="n">
        <v>0</v>
      </c>
      <c r="T251" s="6" t="n">
        <v>28</v>
      </c>
      <c r="U251" s="6" t="n">
        <v>20.27</v>
      </c>
      <c r="V251" s="7" t="n">
        <f aca="false">IF(P251-(O251/1.21)=0,0,U251/(P251-(O251/1.21)))</f>
        <v>0.419929562875492</v>
      </c>
      <c r="W251" s="5" t="s">
        <v>145</v>
      </c>
      <c r="X251" s="5" t="s">
        <v>135</v>
      </c>
      <c r="Y251" s="5" t="s">
        <v>154</v>
      </c>
      <c r="Z251" s="11" t="n">
        <v>1</v>
      </c>
    </row>
    <row r="252" customFormat="false" ht="15" hidden="false" customHeight="false" outlineLevel="0" collapsed="false">
      <c r="A252" s="2" t="s">
        <v>450</v>
      </c>
      <c r="B252" s="8" t="n">
        <v>46136.8541666667</v>
      </c>
      <c r="C252" s="2" t="s">
        <v>193</v>
      </c>
      <c r="D252" s="2" t="s">
        <v>223</v>
      </c>
      <c r="E252" s="2" t="s">
        <v>224</v>
      </c>
      <c r="F252" s="2" t="s">
        <v>225</v>
      </c>
      <c r="G252" s="2" t="s">
        <v>226</v>
      </c>
      <c r="H252" s="2" t="s">
        <v>131</v>
      </c>
      <c r="I252" s="2" t="s">
        <v>185</v>
      </c>
      <c r="J252" s="2" t="s">
        <v>185</v>
      </c>
      <c r="K252" s="2"/>
      <c r="L252" s="3" t="n">
        <v>0</v>
      </c>
      <c r="M252" s="3" t="n">
        <v>0</v>
      </c>
      <c r="N252" s="3" t="n">
        <v>54.4</v>
      </c>
      <c r="O252" s="3" t="n">
        <v>9.95</v>
      </c>
      <c r="P252" s="3" t="n">
        <v>54.79</v>
      </c>
      <c r="Q252" s="3" t="n">
        <v>9.56</v>
      </c>
      <c r="R252" s="3" t="n">
        <f aca="false">P252+Q252</f>
        <v>64.35</v>
      </c>
      <c r="S252" s="3" t="n">
        <v>0</v>
      </c>
      <c r="T252" s="3" t="n">
        <v>26.5</v>
      </c>
      <c r="U252" s="3" t="n">
        <v>20.07</v>
      </c>
      <c r="V252" s="4" t="n">
        <f aca="false">IF(P252-(O252/1.21)=0,0,U252/(P252-(O252/1.21)))</f>
        <v>0.430993204474505</v>
      </c>
      <c r="W252" s="2" t="s">
        <v>153</v>
      </c>
      <c r="X252" s="2" t="s">
        <v>146</v>
      </c>
      <c r="Y252" s="2" t="s">
        <v>154</v>
      </c>
      <c r="Z252" s="9" t="n">
        <v>2</v>
      </c>
    </row>
    <row r="253" customFormat="false" ht="15" hidden="false" customHeight="false" outlineLevel="0" collapsed="false">
      <c r="A253" s="5" t="s">
        <v>451</v>
      </c>
      <c r="B253" s="10" t="n">
        <v>46138.6041666667</v>
      </c>
      <c r="C253" s="5" t="s">
        <v>126</v>
      </c>
      <c r="D253" s="5" t="s">
        <v>258</v>
      </c>
      <c r="E253" s="5" t="s">
        <v>259</v>
      </c>
      <c r="F253" s="5" t="s">
        <v>260</v>
      </c>
      <c r="G253" s="5" t="s">
        <v>261</v>
      </c>
      <c r="H253" s="5" t="s">
        <v>131</v>
      </c>
      <c r="I253" s="5" t="s">
        <v>132</v>
      </c>
      <c r="J253" s="5" t="s">
        <v>133</v>
      </c>
      <c r="K253" s="5"/>
      <c r="L253" s="6" t="n">
        <v>0</v>
      </c>
      <c r="M253" s="6" t="n">
        <v>0</v>
      </c>
      <c r="N253" s="6" t="n">
        <v>64.8</v>
      </c>
      <c r="O253" s="6" t="n">
        <v>4.95</v>
      </c>
      <c r="P253" s="6" t="n">
        <v>57.65</v>
      </c>
      <c r="Q253" s="6" t="n">
        <v>12.1</v>
      </c>
      <c r="R253" s="6" t="n">
        <f aca="false">P253+Q253</f>
        <v>69.75</v>
      </c>
      <c r="S253" s="6" t="n">
        <v>0</v>
      </c>
      <c r="T253" s="6" t="n">
        <v>26</v>
      </c>
      <c r="U253" s="6" t="n">
        <v>27.56</v>
      </c>
      <c r="V253" s="7" t="n">
        <f aca="false">IF(P253-(O253/1.21)=0,0,U253/(P253-(O253/1.21)))</f>
        <v>0.514571840787575</v>
      </c>
      <c r="W253" s="5" t="s">
        <v>153</v>
      </c>
      <c r="X253" s="5" t="s">
        <v>170</v>
      </c>
      <c r="Y253" s="5" t="s">
        <v>154</v>
      </c>
      <c r="Z253" s="11" t="n">
        <v>2</v>
      </c>
    </row>
    <row r="254" customFormat="false" ht="15" hidden="false" customHeight="false" outlineLevel="0" collapsed="false">
      <c r="A254" s="2" t="s">
        <v>452</v>
      </c>
      <c r="B254" s="8" t="n">
        <v>46139.625</v>
      </c>
      <c r="C254" s="2" t="s">
        <v>148</v>
      </c>
      <c r="D254" s="2" t="s">
        <v>173</v>
      </c>
      <c r="E254" s="2" t="s">
        <v>174</v>
      </c>
      <c r="F254" s="2" t="s">
        <v>175</v>
      </c>
      <c r="G254" s="2" t="s">
        <v>161</v>
      </c>
      <c r="H254" s="2" t="s">
        <v>131</v>
      </c>
      <c r="I254" s="2" t="s">
        <v>132</v>
      </c>
      <c r="J254" s="2" t="s">
        <v>133</v>
      </c>
      <c r="K254" s="2"/>
      <c r="L254" s="3" t="n">
        <v>0</v>
      </c>
      <c r="M254" s="3" t="n">
        <v>0</v>
      </c>
      <c r="N254" s="3" t="n">
        <v>203.67</v>
      </c>
      <c r="O254" s="3" t="n">
        <v>9.95</v>
      </c>
      <c r="P254" s="3" t="n">
        <v>178.53</v>
      </c>
      <c r="Q254" s="3" t="n">
        <v>35.09</v>
      </c>
      <c r="R254" s="3" t="n">
        <f aca="false">P254+Q254</f>
        <v>213.62</v>
      </c>
      <c r="S254" s="3" t="n">
        <v>0</v>
      </c>
      <c r="T254" s="3" t="n">
        <v>84.2</v>
      </c>
      <c r="U254" s="3" t="n">
        <v>86.11</v>
      </c>
      <c r="V254" s="4" t="n">
        <f aca="false">IF(P254-(O254/1.21)=0,0,U254/(P254-(O254/1.21)))</f>
        <v>0.505616745272146</v>
      </c>
      <c r="W254" s="2" t="s">
        <v>145</v>
      </c>
      <c r="X254" s="2" t="s">
        <v>146</v>
      </c>
      <c r="Y254" s="2" t="s">
        <v>177</v>
      </c>
      <c r="Z254" s="9" t="n">
        <v>3</v>
      </c>
    </row>
    <row r="255" customFormat="false" ht="15" hidden="false" customHeight="false" outlineLevel="0" collapsed="false">
      <c r="A255" s="5" t="s">
        <v>453</v>
      </c>
      <c r="B255" s="10" t="n">
        <v>46139.90625</v>
      </c>
      <c r="C255" s="5" t="s">
        <v>126</v>
      </c>
      <c r="D255" s="5" t="s">
        <v>179</v>
      </c>
      <c r="E255" s="5" t="s">
        <v>180</v>
      </c>
      <c r="F255" s="5" t="s">
        <v>181</v>
      </c>
      <c r="G255" s="5" t="s">
        <v>182</v>
      </c>
      <c r="H255" s="5" t="s">
        <v>131</v>
      </c>
      <c r="I255" s="5" t="s">
        <v>132</v>
      </c>
      <c r="J255" s="5" t="s">
        <v>133</v>
      </c>
      <c r="K255" s="5"/>
      <c r="L255" s="6" t="n">
        <v>0</v>
      </c>
      <c r="M255" s="6" t="n">
        <v>20.94</v>
      </c>
      <c r="N255" s="6" t="n">
        <v>188.46</v>
      </c>
      <c r="O255" s="6" t="n">
        <v>4.95</v>
      </c>
      <c r="P255" s="6" t="n">
        <v>159.84</v>
      </c>
      <c r="Q255" s="6" t="n">
        <v>33.57</v>
      </c>
      <c r="R255" s="6" t="n">
        <f aca="false">P255+Q255</f>
        <v>193.41</v>
      </c>
      <c r="S255" s="6" t="n">
        <v>0</v>
      </c>
      <c r="T255" s="6" t="n">
        <v>84</v>
      </c>
      <c r="U255" s="6" t="n">
        <v>71.75</v>
      </c>
      <c r="V255" s="7" t="n">
        <f aca="false">IF(P255-(O255/1.21)=0,0,U255/(P255-(O255/1.21)))</f>
        <v>0.460676846209521</v>
      </c>
      <c r="W255" s="5" t="s">
        <v>145</v>
      </c>
      <c r="X255" s="5" t="s">
        <v>170</v>
      </c>
      <c r="Y255" s="5" t="s">
        <v>156</v>
      </c>
      <c r="Z255" s="11" t="n">
        <v>1</v>
      </c>
    </row>
    <row r="256" customFormat="false" ht="15" hidden="false" customHeight="false" outlineLevel="0" collapsed="false">
      <c r="A256" s="2" t="s">
        <v>454</v>
      </c>
      <c r="B256" s="8" t="n">
        <v>46142.6875</v>
      </c>
      <c r="C256" s="2" t="s">
        <v>172</v>
      </c>
      <c r="D256" s="2" t="s">
        <v>223</v>
      </c>
      <c r="E256" s="2" t="s">
        <v>224</v>
      </c>
      <c r="F256" s="2" t="s">
        <v>225</v>
      </c>
      <c r="G256" s="2" t="s">
        <v>226</v>
      </c>
      <c r="H256" s="2" t="s">
        <v>131</v>
      </c>
      <c r="I256" s="2" t="s">
        <v>132</v>
      </c>
      <c r="J256" s="2" t="s">
        <v>133</v>
      </c>
      <c r="K256" s="2" t="s">
        <v>144</v>
      </c>
      <c r="L256" s="3" t="n">
        <v>166.58</v>
      </c>
      <c r="M256" s="3" t="n">
        <v>0</v>
      </c>
      <c r="N256" s="3" t="n">
        <v>832.9</v>
      </c>
      <c r="O256" s="3" t="n">
        <v>4.95</v>
      </c>
      <c r="P256" s="3" t="n">
        <v>554.76</v>
      </c>
      <c r="Q256" s="3" t="n">
        <v>116.51</v>
      </c>
      <c r="R256" s="3" t="n">
        <f aca="false">P256+Q256</f>
        <v>671.27</v>
      </c>
      <c r="S256" s="3" t="n">
        <v>0</v>
      </c>
      <c r="T256" s="3" t="n">
        <v>544</v>
      </c>
      <c r="U256" s="3" t="n">
        <v>6.67</v>
      </c>
      <c r="V256" s="4" t="n">
        <f aca="false">IF(P256-(O256/1.21)=0,0,U256/(P256-(O256/1.21)))</f>
        <v>0.0121125374750716</v>
      </c>
      <c r="W256" s="2" t="s">
        <v>153</v>
      </c>
      <c r="X256" s="2" t="s">
        <v>170</v>
      </c>
      <c r="Y256" s="2" t="s">
        <v>154</v>
      </c>
      <c r="Z256" s="9" t="n">
        <v>2</v>
      </c>
    </row>
    <row r="257" customFormat="false" ht="15" hidden="false" customHeight="false" outlineLevel="0" collapsed="false">
      <c r="A257" s="5" t="s">
        <v>455</v>
      </c>
      <c r="B257" s="10" t="n">
        <v>46143.6770833333</v>
      </c>
      <c r="C257" s="5" t="s">
        <v>126</v>
      </c>
      <c r="D257" s="5" t="s">
        <v>202</v>
      </c>
      <c r="E257" s="5" t="s">
        <v>203</v>
      </c>
      <c r="F257" s="5" t="s">
        <v>204</v>
      </c>
      <c r="G257" s="5" t="s">
        <v>205</v>
      </c>
      <c r="H257" s="5" t="s">
        <v>131</v>
      </c>
      <c r="I257" s="5" t="s">
        <v>132</v>
      </c>
      <c r="J257" s="5" t="s">
        <v>133</v>
      </c>
      <c r="K257" s="5"/>
      <c r="L257" s="6" t="n">
        <v>0</v>
      </c>
      <c r="M257" s="6" t="n">
        <v>0</v>
      </c>
      <c r="N257" s="6" t="n">
        <v>14.97</v>
      </c>
      <c r="O257" s="6" t="n">
        <v>4.95</v>
      </c>
      <c r="P257" s="6" t="n">
        <v>17.7</v>
      </c>
      <c r="Q257" s="6" t="n">
        <v>2.22</v>
      </c>
      <c r="R257" s="6" t="n">
        <f aca="false">P257+Q257</f>
        <v>19.92</v>
      </c>
      <c r="S257" s="6" t="n">
        <v>0</v>
      </c>
      <c r="T257" s="6" t="n">
        <v>6.9</v>
      </c>
      <c r="U257" s="6" t="n">
        <v>6.71</v>
      </c>
      <c r="V257" s="7" t="n">
        <f aca="false">IF(P257-(O257/1.21)=0,0,U257/(P257-(O257/1.21)))</f>
        <v>0.493052772211089</v>
      </c>
      <c r="W257" s="5" t="s">
        <v>134</v>
      </c>
      <c r="X257" s="5" t="s">
        <v>170</v>
      </c>
      <c r="Y257" s="5" t="s">
        <v>156</v>
      </c>
      <c r="Z257" s="11" t="n">
        <v>1</v>
      </c>
    </row>
    <row r="258" customFormat="false" ht="15" hidden="false" customHeight="false" outlineLevel="0" collapsed="false">
      <c r="A258" s="2" t="s">
        <v>456</v>
      </c>
      <c r="B258" s="8" t="n">
        <v>46147.6770833333</v>
      </c>
      <c r="C258" s="2" t="s">
        <v>138</v>
      </c>
      <c r="D258" s="2" t="s">
        <v>139</v>
      </c>
      <c r="E258" s="2" t="s">
        <v>140</v>
      </c>
      <c r="F258" s="2" t="s">
        <v>141</v>
      </c>
      <c r="G258" s="2" t="s">
        <v>142</v>
      </c>
      <c r="H258" s="2" t="s">
        <v>143</v>
      </c>
      <c r="I258" s="2" t="s">
        <v>132</v>
      </c>
      <c r="J258" s="2" t="s">
        <v>133</v>
      </c>
      <c r="K258" s="2"/>
      <c r="L258" s="3" t="n">
        <v>0</v>
      </c>
      <c r="M258" s="3" t="n">
        <v>0</v>
      </c>
      <c r="N258" s="3" t="n">
        <v>90.78</v>
      </c>
      <c r="O258" s="3" t="n">
        <v>9.95</v>
      </c>
      <c r="P258" s="3" t="n">
        <v>84.57</v>
      </c>
      <c r="Q258" s="3" t="n">
        <v>16.16</v>
      </c>
      <c r="R258" s="3" t="n">
        <f aca="false">P258+Q258</f>
        <v>100.73</v>
      </c>
      <c r="S258" s="3" t="n">
        <v>0</v>
      </c>
      <c r="T258" s="3" t="n">
        <v>36.8</v>
      </c>
      <c r="U258" s="3" t="n">
        <v>39.55</v>
      </c>
      <c r="V258" s="4" t="n">
        <f aca="false">IF(P258-(O258/1.21)=0,0,U258/(P258-(O258/1.21)))</f>
        <v>0.518030476392541</v>
      </c>
      <c r="W258" s="2" t="s">
        <v>153</v>
      </c>
      <c r="X258" s="2" t="s">
        <v>146</v>
      </c>
      <c r="Y258" s="2" t="s">
        <v>154</v>
      </c>
      <c r="Z258" s="9" t="n">
        <v>3</v>
      </c>
    </row>
    <row r="259" customFormat="false" ht="15" hidden="false" customHeight="false" outlineLevel="0" collapsed="false">
      <c r="A259" s="5" t="s">
        <v>457</v>
      </c>
      <c r="B259" s="10" t="n">
        <v>46147.7291666667</v>
      </c>
      <c r="C259" s="5" t="s">
        <v>138</v>
      </c>
      <c r="D259" s="5" t="s">
        <v>223</v>
      </c>
      <c r="E259" s="5" t="s">
        <v>224</v>
      </c>
      <c r="F259" s="5" t="s">
        <v>225</v>
      </c>
      <c r="G259" s="5" t="s">
        <v>226</v>
      </c>
      <c r="H259" s="5" t="s">
        <v>131</v>
      </c>
      <c r="I259" s="5" t="s">
        <v>132</v>
      </c>
      <c r="J259" s="5" t="s">
        <v>133</v>
      </c>
      <c r="K259" s="5"/>
      <c r="L259" s="6" t="n">
        <v>0</v>
      </c>
      <c r="M259" s="6" t="n">
        <v>0</v>
      </c>
      <c r="N259" s="6" t="n">
        <v>39.9</v>
      </c>
      <c r="O259" s="6" t="n">
        <v>0</v>
      </c>
      <c r="P259" s="6" t="n">
        <v>32.98</v>
      </c>
      <c r="Q259" s="6" t="n">
        <v>6.92</v>
      </c>
      <c r="R259" s="6" t="n">
        <f aca="false">P259+Q259</f>
        <v>39.9</v>
      </c>
      <c r="S259" s="6" t="n">
        <v>0</v>
      </c>
      <c r="T259" s="6" t="n">
        <v>16</v>
      </c>
      <c r="U259" s="6" t="n">
        <v>16.98</v>
      </c>
      <c r="V259" s="7" t="n">
        <f aca="false">IF(P259-(O259/1.21)=0,0,U259/(P259-(O259/1.21)))</f>
        <v>0.514857489387508</v>
      </c>
      <c r="W259" s="5" t="s">
        <v>134</v>
      </c>
      <c r="X259" s="5" t="s">
        <v>135</v>
      </c>
      <c r="Y259" s="5" t="s">
        <v>136</v>
      </c>
      <c r="Z259" s="11" t="n">
        <v>1</v>
      </c>
    </row>
    <row r="260" customFormat="false" ht="15" hidden="false" customHeight="false" outlineLevel="0" collapsed="false">
      <c r="A260" s="2" t="s">
        <v>458</v>
      </c>
      <c r="B260" s="8" t="n">
        <v>46147.7604166667</v>
      </c>
      <c r="C260" s="2" t="s">
        <v>126</v>
      </c>
      <c r="D260" s="2" t="s">
        <v>217</v>
      </c>
      <c r="E260" s="2" t="s">
        <v>218</v>
      </c>
      <c r="F260" s="2" t="s">
        <v>219</v>
      </c>
      <c r="G260" s="2" t="s">
        <v>220</v>
      </c>
      <c r="H260" s="2" t="s">
        <v>131</v>
      </c>
      <c r="I260" s="2" t="s">
        <v>231</v>
      </c>
      <c r="J260" s="2" t="s">
        <v>133</v>
      </c>
      <c r="K260" s="2" t="s">
        <v>144</v>
      </c>
      <c r="L260" s="3" t="n">
        <v>41.94</v>
      </c>
      <c r="M260" s="3" t="n">
        <v>0</v>
      </c>
      <c r="N260" s="3" t="n">
        <v>209.7</v>
      </c>
      <c r="O260" s="3" t="n">
        <v>9.95</v>
      </c>
      <c r="P260" s="3" t="n">
        <v>146.86</v>
      </c>
      <c r="Q260" s="3" t="n">
        <v>30.85</v>
      </c>
      <c r="R260" s="3" t="n">
        <f aca="false">P260+Q260</f>
        <v>177.71</v>
      </c>
      <c r="S260" s="3" t="n">
        <v>177.71</v>
      </c>
      <c r="T260" s="3" t="n">
        <v>87</v>
      </c>
      <c r="U260" s="3" t="n">
        <v>51.64</v>
      </c>
      <c r="V260" s="4" t="n">
        <f aca="false">IF(P260-(O260/1.21)=0,0,U260/(P260-(O260/1.21)))</f>
        <v>0.372483913619385</v>
      </c>
      <c r="W260" s="2" t="s">
        <v>169</v>
      </c>
      <c r="X260" s="2" t="s">
        <v>146</v>
      </c>
      <c r="Y260" s="2" t="s">
        <v>136</v>
      </c>
      <c r="Z260" s="9" t="n">
        <v>1</v>
      </c>
    </row>
    <row r="261" customFormat="false" ht="15" hidden="false" customHeight="false" outlineLevel="0" collapsed="false">
      <c r="A261" s="5" t="s">
        <v>459</v>
      </c>
      <c r="B261" s="10" t="n">
        <v>46148.8333333333</v>
      </c>
      <c r="C261" s="5" t="s">
        <v>126</v>
      </c>
      <c r="D261" s="5" t="s">
        <v>158</v>
      </c>
      <c r="E261" s="5" t="s">
        <v>159</v>
      </c>
      <c r="F261" s="5" t="s">
        <v>160</v>
      </c>
      <c r="G261" s="5" t="s">
        <v>161</v>
      </c>
      <c r="H261" s="5" t="s">
        <v>131</v>
      </c>
      <c r="I261" s="5" t="s">
        <v>132</v>
      </c>
      <c r="J261" s="5" t="s">
        <v>133</v>
      </c>
      <c r="K261" s="5" t="s">
        <v>144</v>
      </c>
      <c r="L261" s="6" t="n">
        <v>79.8</v>
      </c>
      <c r="M261" s="6" t="n">
        <v>0</v>
      </c>
      <c r="N261" s="6" t="n">
        <v>399</v>
      </c>
      <c r="O261" s="6" t="n">
        <v>0</v>
      </c>
      <c r="P261" s="6" t="n">
        <v>263.8</v>
      </c>
      <c r="Q261" s="6" t="n">
        <v>55.4</v>
      </c>
      <c r="R261" s="6" t="n">
        <f aca="false">P261+Q261</f>
        <v>319.2</v>
      </c>
      <c r="S261" s="6" t="n">
        <v>0</v>
      </c>
      <c r="T261" s="6" t="n">
        <v>265</v>
      </c>
      <c r="U261" s="6" t="n">
        <v>-1.2</v>
      </c>
      <c r="V261" s="7" t="n">
        <f aca="false">IF(P261-(O261/1.21)=0,0,U261/(P261-(O261/1.21)))</f>
        <v>-0.0045489006823351</v>
      </c>
      <c r="W261" s="5" t="s">
        <v>169</v>
      </c>
      <c r="X261" s="5" t="s">
        <v>135</v>
      </c>
      <c r="Y261" s="5" t="s">
        <v>136</v>
      </c>
      <c r="Z261" s="11" t="n">
        <v>1</v>
      </c>
    </row>
    <row r="262" customFormat="false" ht="15" hidden="false" customHeight="false" outlineLevel="0" collapsed="false">
      <c r="A262" s="2" t="s">
        <v>460</v>
      </c>
      <c r="B262" s="8" t="n">
        <v>46149.6354166667</v>
      </c>
      <c r="C262" s="2" t="s">
        <v>126</v>
      </c>
      <c r="D262" s="2" t="s">
        <v>217</v>
      </c>
      <c r="E262" s="2" t="s">
        <v>218</v>
      </c>
      <c r="F262" s="2" t="s">
        <v>219</v>
      </c>
      <c r="G262" s="2" t="s">
        <v>220</v>
      </c>
      <c r="H262" s="2" t="s">
        <v>131</v>
      </c>
      <c r="I262" s="2" t="s">
        <v>132</v>
      </c>
      <c r="J262" s="2" t="s">
        <v>133</v>
      </c>
      <c r="K262" s="2"/>
      <c r="L262" s="3" t="n">
        <v>0</v>
      </c>
      <c r="M262" s="3" t="n">
        <v>0</v>
      </c>
      <c r="N262" s="3" t="n">
        <v>451.49</v>
      </c>
      <c r="O262" s="3" t="n">
        <v>0</v>
      </c>
      <c r="P262" s="3" t="n">
        <v>373.33</v>
      </c>
      <c r="Q262" s="3" t="n">
        <v>78.16</v>
      </c>
      <c r="R262" s="3" t="n">
        <f aca="false">P262+Q262</f>
        <v>451.49</v>
      </c>
      <c r="S262" s="3" t="n">
        <v>0</v>
      </c>
      <c r="T262" s="3" t="n">
        <v>361.5</v>
      </c>
      <c r="U262" s="3" t="n">
        <v>11.83</v>
      </c>
      <c r="V262" s="4" t="n">
        <f aca="false">IF(P262-(O262/1.21)=0,0,U262/(P262-(O262/1.21)))</f>
        <v>0.0316877829266333</v>
      </c>
      <c r="W262" s="2" t="s">
        <v>145</v>
      </c>
      <c r="X262" s="2" t="s">
        <v>135</v>
      </c>
      <c r="Y262" s="2" t="s">
        <v>177</v>
      </c>
      <c r="Z262" s="9" t="n">
        <v>2</v>
      </c>
    </row>
    <row r="263" customFormat="false" ht="15" hidden="false" customHeight="false" outlineLevel="0" collapsed="false">
      <c r="A263" s="5" t="s">
        <v>461</v>
      </c>
      <c r="B263" s="10" t="n">
        <v>46151.7291666667</v>
      </c>
      <c r="C263" s="5" t="s">
        <v>126</v>
      </c>
      <c r="D263" s="5" t="s">
        <v>173</v>
      </c>
      <c r="E263" s="5" t="s">
        <v>174</v>
      </c>
      <c r="F263" s="5" t="s">
        <v>175</v>
      </c>
      <c r="G263" s="5" t="s">
        <v>161</v>
      </c>
      <c r="H263" s="5" t="s">
        <v>131</v>
      </c>
      <c r="I263" s="5" t="s">
        <v>176</v>
      </c>
      <c r="J263" s="5" t="s">
        <v>133</v>
      </c>
      <c r="K263" s="5" t="s">
        <v>144</v>
      </c>
      <c r="L263" s="6" t="n">
        <v>17.98</v>
      </c>
      <c r="M263" s="6" t="n">
        <v>0</v>
      </c>
      <c r="N263" s="6" t="n">
        <v>89.9</v>
      </c>
      <c r="O263" s="6" t="n">
        <v>0</v>
      </c>
      <c r="P263" s="6" t="n">
        <v>59.44</v>
      </c>
      <c r="Q263" s="6" t="n">
        <v>12.48</v>
      </c>
      <c r="R263" s="6" t="n">
        <f aca="false">P263+Q263</f>
        <v>71.92</v>
      </c>
      <c r="S263" s="6" t="n">
        <v>71.92</v>
      </c>
      <c r="T263" s="6" t="n">
        <v>48</v>
      </c>
      <c r="U263" s="6" t="n">
        <v>11.44</v>
      </c>
      <c r="V263" s="7" t="n">
        <f aca="false">IF(P263-(O263/1.21)=0,0,U263/(P263-(O263/1.21)))</f>
        <v>0.192462987886945</v>
      </c>
      <c r="W263" s="5" t="s">
        <v>162</v>
      </c>
      <c r="X263" s="5" t="s">
        <v>135</v>
      </c>
      <c r="Y263" s="5" t="s">
        <v>177</v>
      </c>
      <c r="Z263" s="11" t="n">
        <v>1</v>
      </c>
    </row>
    <row r="264" customFormat="false" ht="15" hidden="false" customHeight="false" outlineLevel="0" collapsed="false">
      <c r="A264" s="2" t="s">
        <v>462</v>
      </c>
      <c r="B264" s="8" t="n">
        <v>46151.8958333333</v>
      </c>
      <c r="C264" s="2" t="s">
        <v>138</v>
      </c>
      <c r="D264" s="2" t="s">
        <v>258</v>
      </c>
      <c r="E264" s="2" t="s">
        <v>259</v>
      </c>
      <c r="F264" s="2" t="s">
        <v>260</v>
      </c>
      <c r="G264" s="2" t="s">
        <v>261</v>
      </c>
      <c r="H264" s="2" t="s">
        <v>131</v>
      </c>
      <c r="I264" s="2" t="s">
        <v>176</v>
      </c>
      <c r="J264" s="2" t="s">
        <v>133</v>
      </c>
      <c r="K264" s="2" t="s">
        <v>186</v>
      </c>
      <c r="L264" s="3" t="n">
        <v>0</v>
      </c>
      <c r="M264" s="3" t="n">
        <v>4.5</v>
      </c>
      <c r="N264" s="3" t="n">
        <v>119.27</v>
      </c>
      <c r="O264" s="3" t="n">
        <v>0</v>
      </c>
      <c r="P264" s="3" t="n">
        <v>99.81</v>
      </c>
      <c r="Q264" s="3" t="n">
        <v>19.46</v>
      </c>
      <c r="R264" s="3" t="n">
        <f aca="false">P264+Q264</f>
        <v>119.27</v>
      </c>
      <c r="S264" s="3" t="n">
        <v>85.4</v>
      </c>
      <c r="T264" s="3" t="n">
        <v>51.9</v>
      </c>
      <c r="U264" s="3" t="n">
        <v>47.91</v>
      </c>
      <c r="V264" s="4" t="n">
        <f aca="false">IF(P264-(O264/1.21)=0,0,U264/(P264-(O264/1.21)))</f>
        <v>0.480012022843402</v>
      </c>
      <c r="W264" s="2" t="s">
        <v>153</v>
      </c>
      <c r="X264" s="2" t="s">
        <v>135</v>
      </c>
      <c r="Y264" s="2" t="s">
        <v>156</v>
      </c>
      <c r="Z264" s="9" t="n">
        <v>3</v>
      </c>
    </row>
    <row r="265" customFormat="false" ht="15" hidden="false" customHeight="false" outlineLevel="0" collapsed="false">
      <c r="A265" s="5" t="s">
        <v>463</v>
      </c>
      <c r="B265" s="10" t="n">
        <v>46152.5208333333</v>
      </c>
      <c r="C265" s="5" t="s">
        <v>148</v>
      </c>
      <c r="D265" s="5" t="s">
        <v>139</v>
      </c>
      <c r="E265" s="5" t="s">
        <v>140</v>
      </c>
      <c r="F265" s="5" t="s">
        <v>141</v>
      </c>
      <c r="G265" s="5" t="s">
        <v>142</v>
      </c>
      <c r="H265" s="5" t="s">
        <v>143</v>
      </c>
      <c r="I265" s="5" t="s">
        <v>185</v>
      </c>
      <c r="J265" s="5" t="s">
        <v>185</v>
      </c>
      <c r="K265" s="5"/>
      <c r="L265" s="6" t="n">
        <v>0</v>
      </c>
      <c r="M265" s="6" t="n">
        <v>14.98</v>
      </c>
      <c r="N265" s="6" t="n">
        <v>254.54</v>
      </c>
      <c r="O265" s="6" t="n">
        <v>4.95</v>
      </c>
      <c r="P265" s="6" t="n">
        <v>217.27</v>
      </c>
      <c r="Q265" s="6" t="n">
        <v>42.22</v>
      </c>
      <c r="R265" s="6" t="n">
        <f aca="false">P265+Q265</f>
        <v>259.49</v>
      </c>
      <c r="S265" s="6" t="n">
        <v>0</v>
      </c>
      <c r="T265" s="6" t="n">
        <v>115</v>
      </c>
      <c r="U265" s="6" t="n">
        <v>98.18</v>
      </c>
      <c r="V265" s="7" t="n">
        <f aca="false">IF(P265-(O265/1.21)=0,0,U265/(P265-(O265/1.21)))</f>
        <v>0.460551734137324</v>
      </c>
      <c r="W265" s="5" t="s">
        <v>153</v>
      </c>
      <c r="X265" s="5" t="s">
        <v>170</v>
      </c>
      <c r="Y265" s="5" t="s">
        <v>136</v>
      </c>
      <c r="Z265" s="11" t="n">
        <v>3</v>
      </c>
    </row>
    <row r="266" customFormat="false" ht="15" hidden="false" customHeight="false" outlineLevel="0" collapsed="false">
      <c r="A266" s="2" t="s">
        <v>464</v>
      </c>
      <c r="B266" s="8" t="n">
        <v>46154.4583333333</v>
      </c>
      <c r="C266" s="2" t="s">
        <v>148</v>
      </c>
      <c r="D266" s="2" t="s">
        <v>258</v>
      </c>
      <c r="E266" s="2" t="s">
        <v>259</v>
      </c>
      <c r="F266" s="2" t="s">
        <v>260</v>
      </c>
      <c r="G266" s="2" t="s">
        <v>261</v>
      </c>
      <c r="H266" s="2" t="s">
        <v>131</v>
      </c>
      <c r="I266" s="2" t="s">
        <v>132</v>
      </c>
      <c r="J266" s="2" t="s">
        <v>133</v>
      </c>
      <c r="K266" s="2"/>
      <c r="L266" s="3" t="n">
        <v>0</v>
      </c>
      <c r="M266" s="3" t="n">
        <v>0</v>
      </c>
      <c r="N266" s="3" t="n">
        <v>199.7</v>
      </c>
      <c r="O266" s="3" t="n">
        <v>0</v>
      </c>
      <c r="P266" s="3" t="n">
        <v>165.05</v>
      </c>
      <c r="Q266" s="3" t="n">
        <v>34.65</v>
      </c>
      <c r="R266" s="3" t="n">
        <f aca="false">P266+Q266</f>
        <v>199.7</v>
      </c>
      <c r="S266" s="3" t="n">
        <v>0</v>
      </c>
      <c r="T266" s="3" t="n">
        <v>80</v>
      </c>
      <c r="U266" s="3" t="n">
        <v>85.05</v>
      </c>
      <c r="V266" s="4" t="n">
        <f aca="false">IF(P266-(O266/1.21)=0,0,U266/(P266-(O266/1.21)))</f>
        <v>0.515298394425932</v>
      </c>
      <c r="W266" s="2" t="s">
        <v>145</v>
      </c>
      <c r="X266" s="2" t="s">
        <v>135</v>
      </c>
      <c r="Y266" s="2" t="s">
        <v>156</v>
      </c>
      <c r="Z266" s="9" t="n">
        <v>2</v>
      </c>
    </row>
    <row r="267" customFormat="false" ht="15" hidden="false" customHeight="false" outlineLevel="0" collapsed="false">
      <c r="A267" s="5" t="s">
        <v>465</v>
      </c>
      <c r="B267" s="10" t="n">
        <v>46154.8229166667</v>
      </c>
      <c r="C267" s="5" t="s">
        <v>193</v>
      </c>
      <c r="D267" s="5" t="s">
        <v>127</v>
      </c>
      <c r="E267" s="5" t="s">
        <v>128</v>
      </c>
      <c r="F267" s="5" t="s">
        <v>129</v>
      </c>
      <c r="G267" s="5" t="s">
        <v>130</v>
      </c>
      <c r="H267" s="5" t="s">
        <v>131</v>
      </c>
      <c r="I267" s="5" t="s">
        <v>185</v>
      </c>
      <c r="J267" s="5" t="s">
        <v>185</v>
      </c>
      <c r="K267" s="5"/>
      <c r="L267" s="6" t="n">
        <v>0</v>
      </c>
      <c r="M267" s="6" t="n">
        <v>2.5</v>
      </c>
      <c r="N267" s="6" t="n">
        <v>22.45</v>
      </c>
      <c r="O267" s="6" t="n">
        <v>9.95</v>
      </c>
      <c r="P267" s="6" t="n">
        <v>28.63</v>
      </c>
      <c r="Q267" s="6" t="n">
        <v>3.77</v>
      </c>
      <c r="R267" s="6" t="n">
        <f aca="false">P267+Q267</f>
        <v>32.4</v>
      </c>
      <c r="S267" s="6" t="n">
        <v>0</v>
      </c>
      <c r="T267" s="6" t="n">
        <v>11.5</v>
      </c>
      <c r="U267" s="6" t="n">
        <v>8.91</v>
      </c>
      <c r="V267" s="7" t="n">
        <f aca="false">IF(P267-(O267/1.21)=0,0,U267/(P267-(O267/1.21)))</f>
        <v>0.436617893027381</v>
      </c>
      <c r="W267" s="5" t="s">
        <v>134</v>
      </c>
      <c r="X267" s="5" t="s">
        <v>146</v>
      </c>
      <c r="Y267" s="5" t="s">
        <v>177</v>
      </c>
      <c r="Z267" s="11" t="n">
        <v>1</v>
      </c>
    </row>
    <row r="268" customFormat="false" ht="15" hidden="false" customHeight="false" outlineLevel="0" collapsed="false">
      <c r="A268" s="2" t="s">
        <v>466</v>
      </c>
      <c r="B268" s="8" t="n">
        <v>46156.8229166667</v>
      </c>
      <c r="C268" s="2" t="s">
        <v>126</v>
      </c>
      <c r="D268" s="2" t="s">
        <v>127</v>
      </c>
      <c r="E268" s="2" t="s">
        <v>128</v>
      </c>
      <c r="F268" s="2" t="s">
        <v>129</v>
      </c>
      <c r="G268" s="2" t="s">
        <v>130</v>
      </c>
      <c r="H268" s="2" t="s">
        <v>131</v>
      </c>
      <c r="I268" s="2" t="s">
        <v>132</v>
      </c>
      <c r="J268" s="2" t="s">
        <v>133</v>
      </c>
      <c r="K268" s="2" t="s">
        <v>186</v>
      </c>
      <c r="L268" s="3" t="n">
        <v>0</v>
      </c>
      <c r="M268" s="3" t="n">
        <v>4</v>
      </c>
      <c r="N268" s="3" t="n">
        <v>78.89</v>
      </c>
      <c r="O268" s="3" t="n">
        <v>0</v>
      </c>
      <c r="P268" s="3" t="n">
        <v>65.45</v>
      </c>
      <c r="Q268" s="3" t="n">
        <v>13.44</v>
      </c>
      <c r="R268" s="3" t="n">
        <f aca="false">P268+Q268</f>
        <v>78.89</v>
      </c>
      <c r="S268" s="3" t="n">
        <v>0</v>
      </c>
      <c r="T268" s="3" t="n">
        <v>35.2</v>
      </c>
      <c r="U268" s="3" t="n">
        <v>30.25</v>
      </c>
      <c r="V268" s="4" t="n">
        <f aca="false">IF(P268-(O268/1.21)=0,0,U268/(P268-(O268/1.21)))</f>
        <v>0.46218487394958</v>
      </c>
      <c r="W268" s="2" t="s">
        <v>169</v>
      </c>
      <c r="X268" s="2" t="s">
        <v>135</v>
      </c>
      <c r="Y268" s="2" t="s">
        <v>136</v>
      </c>
      <c r="Z268" s="9" t="n">
        <v>2</v>
      </c>
    </row>
    <row r="269" customFormat="false" ht="15" hidden="false" customHeight="false" outlineLevel="0" collapsed="false">
      <c r="A269" s="5" t="s">
        <v>467</v>
      </c>
      <c r="B269" s="10" t="n">
        <v>46158.6041666667</v>
      </c>
      <c r="C269" s="5" t="s">
        <v>126</v>
      </c>
      <c r="D269" s="5" t="s">
        <v>173</v>
      </c>
      <c r="E269" s="5" t="s">
        <v>174</v>
      </c>
      <c r="F269" s="5" t="s">
        <v>175</v>
      </c>
      <c r="G269" s="5" t="s">
        <v>161</v>
      </c>
      <c r="H269" s="5" t="s">
        <v>131</v>
      </c>
      <c r="I269" s="5" t="s">
        <v>132</v>
      </c>
      <c r="J269" s="5" t="s">
        <v>133</v>
      </c>
      <c r="K269" s="5"/>
      <c r="L269" s="6" t="n">
        <v>0</v>
      </c>
      <c r="M269" s="6" t="n">
        <v>79.6</v>
      </c>
      <c r="N269" s="6" t="n">
        <v>716.4</v>
      </c>
      <c r="O269" s="6" t="n">
        <v>9.95</v>
      </c>
      <c r="P269" s="6" t="n">
        <v>600.29</v>
      </c>
      <c r="Q269" s="6" t="n">
        <v>126.06</v>
      </c>
      <c r="R269" s="6" t="n">
        <f aca="false">P269+Q269</f>
        <v>726.35</v>
      </c>
      <c r="S269" s="6" t="n">
        <v>0</v>
      </c>
      <c r="T269" s="6" t="n">
        <v>380</v>
      </c>
      <c r="U269" s="6" t="n">
        <v>212.07</v>
      </c>
      <c r="V269" s="7" t="n">
        <f aca="false">IF(P269-(O269/1.21)=0,0,U269/(P269-(O269/1.21)))</f>
        <v>0.358185898426426</v>
      </c>
      <c r="W269" s="5" t="s">
        <v>162</v>
      </c>
      <c r="X269" s="5" t="s">
        <v>146</v>
      </c>
      <c r="Y269" s="5" t="s">
        <v>154</v>
      </c>
      <c r="Z269" s="11" t="n">
        <v>1</v>
      </c>
    </row>
    <row r="270" customFormat="false" ht="15" hidden="false" customHeight="false" outlineLevel="0" collapsed="false">
      <c r="A270" s="2" t="s">
        <v>468</v>
      </c>
      <c r="B270" s="8" t="n">
        <v>46158.75</v>
      </c>
      <c r="C270" s="2" t="s">
        <v>138</v>
      </c>
      <c r="D270" s="2" t="s">
        <v>223</v>
      </c>
      <c r="E270" s="2" t="s">
        <v>224</v>
      </c>
      <c r="F270" s="2" t="s">
        <v>225</v>
      </c>
      <c r="G270" s="2" t="s">
        <v>226</v>
      </c>
      <c r="H270" s="2" t="s">
        <v>131</v>
      </c>
      <c r="I270" s="2" t="s">
        <v>132</v>
      </c>
      <c r="J270" s="2" t="s">
        <v>133</v>
      </c>
      <c r="K270" s="2" t="s">
        <v>200</v>
      </c>
      <c r="L270" s="3" t="n">
        <v>2.37</v>
      </c>
      <c r="M270" s="3" t="n">
        <v>1.24</v>
      </c>
      <c r="N270" s="3" t="n">
        <v>23.66</v>
      </c>
      <c r="O270" s="3" t="n">
        <v>0</v>
      </c>
      <c r="P270" s="3" t="n">
        <v>17.6</v>
      </c>
      <c r="Q270" s="3" t="n">
        <v>3.69</v>
      </c>
      <c r="R270" s="3" t="n">
        <f aca="false">P270+Q270</f>
        <v>21.29</v>
      </c>
      <c r="S270" s="3" t="n">
        <v>0</v>
      </c>
      <c r="T270" s="3" t="n">
        <v>9.8</v>
      </c>
      <c r="U270" s="3" t="n">
        <v>7.8</v>
      </c>
      <c r="V270" s="4" t="n">
        <f aca="false">IF(P270-(O270/1.21)=0,0,U270/(P270-(O270/1.21)))</f>
        <v>0.443181818181818</v>
      </c>
      <c r="W270" s="2" t="s">
        <v>153</v>
      </c>
      <c r="X270" s="2" t="s">
        <v>135</v>
      </c>
      <c r="Y270" s="2" t="s">
        <v>136</v>
      </c>
      <c r="Z270" s="9" t="n">
        <v>1</v>
      </c>
    </row>
    <row r="271" customFormat="false" ht="15" hidden="false" customHeight="false" outlineLevel="0" collapsed="false">
      <c r="A271" s="5" t="s">
        <v>469</v>
      </c>
      <c r="B271" s="10" t="n">
        <v>46159.5208333333</v>
      </c>
      <c r="C271" s="5" t="s">
        <v>126</v>
      </c>
      <c r="D271" s="5" t="s">
        <v>127</v>
      </c>
      <c r="E271" s="5" t="s">
        <v>128</v>
      </c>
      <c r="F271" s="5" t="s">
        <v>129</v>
      </c>
      <c r="G271" s="5" t="s">
        <v>130</v>
      </c>
      <c r="H271" s="5" t="s">
        <v>131</v>
      </c>
      <c r="I271" s="5" t="s">
        <v>132</v>
      </c>
      <c r="J271" s="5" t="s">
        <v>133</v>
      </c>
      <c r="K271" s="5" t="s">
        <v>168</v>
      </c>
      <c r="L271" s="6" t="n">
        <v>719.1</v>
      </c>
      <c r="M271" s="6" t="n">
        <v>0</v>
      </c>
      <c r="N271" s="6" t="n">
        <v>4794</v>
      </c>
      <c r="O271" s="6" t="n">
        <v>0</v>
      </c>
      <c r="P271" s="6" t="n">
        <v>3367.69</v>
      </c>
      <c r="Q271" s="6" t="n">
        <v>707.21</v>
      </c>
      <c r="R271" s="6" t="n">
        <f aca="false">P271+Q271</f>
        <v>4074.9</v>
      </c>
      <c r="S271" s="6" t="n">
        <v>0</v>
      </c>
      <c r="T271" s="6" t="n">
        <v>3300</v>
      </c>
      <c r="U271" s="6" t="n">
        <v>67.69</v>
      </c>
      <c r="V271" s="7" t="n">
        <f aca="false">IF(P271-(O271/1.21)=0,0,U271/(P271-(O271/1.21)))</f>
        <v>0.0200998310414557</v>
      </c>
      <c r="W271" s="5" t="s">
        <v>169</v>
      </c>
      <c r="X271" s="5" t="s">
        <v>135</v>
      </c>
      <c r="Y271" s="5" t="s">
        <v>154</v>
      </c>
      <c r="Z271" s="11" t="n">
        <v>1</v>
      </c>
    </row>
    <row r="272" customFormat="false" ht="15" hidden="false" customHeight="false" outlineLevel="0" collapsed="false">
      <c r="A272" s="2" t="s">
        <v>470</v>
      </c>
      <c r="B272" s="8" t="n">
        <v>46160.7604166667</v>
      </c>
      <c r="C272" s="2" t="s">
        <v>193</v>
      </c>
      <c r="D272" s="2" t="s">
        <v>127</v>
      </c>
      <c r="E272" s="2" t="s">
        <v>128</v>
      </c>
      <c r="F272" s="2" t="s">
        <v>129</v>
      </c>
      <c r="G272" s="2" t="s">
        <v>130</v>
      </c>
      <c r="H272" s="2" t="s">
        <v>131</v>
      </c>
      <c r="I272" s="2" t="s">
        <v>231</v>
      </c>
      <c r="J272" s="2" t="s">
        <v>133</v>
      </c>
      <c r="K272" s="2"/>
      <c r="L272" s="3" t="n">
        <v>0</v>
      </c>
      <c r="M272" s="3" t="n">
        <v>9.66</v>
      </c>
      <c r="N272" s="3" t="n">
        <v>307.74</v>
      </c>
      <c r="O272" s="3" t="n">
        <v>4.95</v>
      </c>
      <c r="P272" s="3" t="n">
        <v>258.42</v>
      </c>
      <c r="Q272" s="3" t="n">
        <v>54.27</v>
      </c>
      <c r="R272" s="3" t="n">
        <f aca="false">P272+Q272</f>
        <v>312.69</v>
      </c>
      <c r="S272" s="3" t="n">
        <v>312.69</v>
      </c>
      <c r="T272" s="3" t="n">
        <v>128.5</v>
      </c>
      <c r="U272" s="3" t="n">
        <v>125.83</v>
      </c>
      <c r="V272" s="4" t="n">
        <f aca="false">IF(P272-(O272/1.21)=0,0,U272/(P272-(O272/1.21)))</f>
        <v>0.494752682637385</v>
      </c>
      <c r="W272" s="2" t="s">
        <v>145</v>
      </c>
      <c r="X272" s="2" t="s">
        <v>170</v>
      </c>
      <c r="Y272" s="2" t="s">
        <v>136</v>
      </c>
      <c r="Z272" s="9" t="n">
        <v>4</v>
      </c>
    </row>
    <row r="273" customFormat="false" ht="15" hidden="false" customHeight="false" outlineLevel="0" collapsed="false">
      <c r="A273" s="5" t="s">
        <v>471</v>
      </c>
      <c r="B273" s="10" t="n">
        <v>46160.8854166667</v>
      </c>
      <c r="C273" s="5" t="s">
        <v>126</v>
      </c>
      <c r="D273" s="5" t="s">
        <v>202</v>
      </c>
      <c r="E273" s="5" t="s">
        <v>203</v>
      </c>
      <c r="F273" s="5" t="s">
        <v>204</v>
      </c>
      <c r="G273" s="5" t="s">
        <v>205</v>
      </c>
      <c r="H273" s="5" t="s">
        <v>131</v>
      </c>
      <c r="I273" s="5" t="s">
        <v>132</v>
      </c>
      <c r="J273" s="5" t="s">
        <v>133</v>
      </c>
      <c r="K273" s="5"/>
      <c r="L273" s="6" t="n">
        <v>0</v>
      </c>
      <c r="M273" s="6" t="n">
        <v>1.99</v>
      </c>
      <c r="N273" s="6" t="n">
        <v>17.91</v>
      </c>
      <c r="O273" s="6" t="n">
        <v>4.95</v>
      </c>
      <c r="P273" s="6" t="n">
        <v>18.89</v>
      </c>
      <c r="Q273" s="6" t="n">
        <v>3.97</v>
      </c>
      <c r="R273" s="6" t="n">
        <f aca="false">P273+Q273</f>
        <v>22.86</v>
      </c>
      <c r="S273" s="6" t="n">
        <v>0</v>
      </c>
      <c r="T273" s="6" t="n">
        <v>7.9</v>
      </c>
      <c r="U273" s="6" t="n">
        <v>6.9</v>
      </c>
      <c r="V273" s="7" t="n">
        <f aca="false">IF(P273-(O273/1.21)=0,0,U273/(P273-(O273/1.21)))</f>
        <v>0.466244855335094</v>
      </c>
      <c r="W273" s="5" t="s">
        <v>153</v>
      </c>
      <c r="X273" s="5" t="s">
        <v>170</v>
      </c>
      <c r="Y273" s="5" t="s">
        <v>177</v>
      </c>
      <c r="Z273" s="11" t="n">
        <v>1</v>
      </c>
    </row>
    <row r="274" customFormat="false" ht="15" hidden="false" customHeight="false" outlineLevel="0" collapsed="false">
      <c r="A274" s="2" t="s">
        <v>472</v>
      </c>
      <c r="B274" s="8" t="n">
        <v>46163.4270833333</v>
      </c>
      <c r="C274" s="2" t="s">
        <v>126</v>
      </c>
      <c r="D274" s="2" t="s">
        <v>188</v>
      </c>
      <c r="E274" s="2" t="s">
        <v>189</v>
      </c>
      <c r="F274" s="2" t="s">
        <v>190</v>
      </c>
      <c r="G274" s="2" t="s">
        <v>191</v>
      </c>
      <c r="H274" s="2" t="s">
        <v>131</v>
      </c>
      <c r="I274" s="2" t="s">
        <v>132</v>
      </c>
      <c r="J274" s="2" t="s">
        <v>133</v>
      </c>
      <c r="K274" s="2"/>
      <c r="L274" s="3" t="n">
        <v>0</v>
      </c>
      <c r="M274" s="3" t="n">
        <v>4.49</v>
      </c>
      <c r="N274" s="3" t="n">
        <v>40.41</v>
      </c>
      <c r="O274" s="3" t="n">
        <v>4.95</v>
      </c>
      <c r="P274" s="3" t="n">
        <v>37.49</v>
      </c>
      <c r="Q274" s="3" t="n">
        <v>7.87</v>
      </c>
      <c r="R274" s="3" t="n">
        <f aca="false">P274+Q274</f>
        <v>45.36</v>
      </c>
      <c r="S274" s="3" t="n">
        <v>0</v>
      </c>
      <c r="T274" s="3" t="n">
        <v>19</v>
      </c>
      <c r="U274" s="3" t="n">
        <v>14.4</v>
      </c>
      <c r="V274" s="4" t="n">
        <f aca="false">IF(P274-(O274/1.21)=0,0,U274/(P274-(O274/1.21)))</f>
        <v>0.431149459702224</v>
      </c>
      <c r="W274" s="2" t="s">
        <v>162</v>
      </c>
      <c r="X274" s="2" t="s">
        <v>170</v>
      </c>
      <c r="Y274" s="2" t="s">
        <v>177</v>
      </c>
      <c r="Z274" s="9" t="n">
        <v>1</v>
      </c>
    </row>
    <row r="275" customFormat="false" ht="15" hidden="false" customHeight="false" outlineLevel="0" collapsed="false">
      <c r="A275" s="5" t="s">
        <v>473</v>
      </c>
      <c r="B275" s="10" t="n">
        <v>46166.46875</v>
      </c>
      <c r="C275" s="5" t="s">
        <v>126</v>
      </c>
      <c r="D275" s="5" t="s">
        <v>164</v>
      </c>
      <c r="E275" s="5" t="s">
        <v>165</v>
      </c>
      <c r="F275" s="5" t="s">
        <v>166</v>
      </c>
      <c r="G275" s="5" t="s">
        <v>167</v>
      </c>
      <c r="H275" s="5" t="s">
        <v>131</v>
      </c>
      <c r="I275" s="5" t="s">
        <v>132</v>
      </c>
      <c r="J275" s="5" t="s">
        <v>133</v>
      </c>
      <c r="K275" s="5" t="s">
        <v>168</v>
      </c>
      <c r="L275" s="6" t="n">
        <v>5.39</v>
      </c>
      <c r="M275" s="6" t="n">
        <v>0</v>
      </c>
      <c r="N275" s="6" t="n">
        <v>35.92</v>
      </c>
      <c r="O275" s="6" t="n">
        <v>9.95</v>
      </c>
      <c r="P275" s="6" t="n">
        <v>35.97</v>
      </c>
      <c r="Q275" s="6" t="n">
        <v>4.51</v>
      </c>
      <c r="R275" s="6" t="n">
        <f aca="false">P275+Q275</f>
        <v>40.48</v>
      </c>
      <c r="S275" s="6" t="n">
        <v>0</v>
      </c>
      <c r="T275" s="6" t="n">
        <v>16.8</v>
      </c>
      <c r="U275" s="6" t="n">
        <v>10.95</v>
      </c>
      <c r="V275" s="7" t="n">
        <f aca="false">IF(P275-(O275/1.21)=0,0,U275/(P275-(O275/1.21)))</f>
        <v>0.394639256322657</v>
      </c>
      <c r="W275" s="5" t="s">
        <v>145</v>
      </c>
      <c r="X275" s="5" t="s">
        <v>146</v>
      </c>
      <c r="Y275" s="5" t="s">
        <v>177</v>
      </c>
      <c r="Z275" s="11" t="n">
        <v>1</v>
      </c>
    </row>
    <row r="276" customFormat="false" ht="15" hidden="false" customHeight="false" outlineLevel="0" collapsed="false">
      <c r="A276" s="2" t="s">
        <v>474</v>
      </c>
      <c r="B276" s="8" t="n">
        <v>46167.46875</v>
      </c>
      <c r="C276" s="2" t="s">
        <v>126</v>
      </c>
      <c r="D276" s="2" t="s">
        <v>258</v>
      </c>
      <c r="E276" s="2" t="s">
        <v>259</v>
      </c>
      <c r="F276" s="2" t="s">
        <v>260</v>
      </c>
      <c r="G276" s="2" t="s">
        <v>261</v>
      </c>
      <c r="H276" s="2" t="s">
        <v>131</v>
      </c>
      <c r="I276" s="2" t="s">
        <v>132</v>
      </c>
      <c r="J276" s="2" t="s">
        <v>133</v>
      </c>
      <c r="K276" s="2" t="s">
        <v>200</v>
      </c>
      <c r="L276" s="3" t="n">
        <v>53.94</v>
      </c>
      <c r="M276" s="3" t="n">
        <v>0</v>
      </c>
      <c r="N276" s="3" t="n">
        <v>539.4</v>
      </c>
      <c r="O276" s="3" t="n">
        <v>9.95</v>
      </c>
      <c r="P276" s="3" t="n">
        <v>409.43</v>
      </c>
      <c r="Q276" s="3" t="n">
        <v>85.98</v>
      </c>
      <c r="R276" s="3" t="n">
        <f aca="false">P276+Q276</f>
        <v>495.41</v>
      </c>
      <c r="S276" s="3" t="n">
        <v>0</v>
      </c>
      <c r="T276" s="3" t="n">
        <v>231</v>
      </c>
      <c r="U276" s="3" t="n">
        <v>170.21</v>
      </c>
      <c r="V276" s="4" t="n">
        <f aca="false">IF(P276-(O276/1.21)=0,0,U276/(P276-(O276/1.21)))</f>
        <v>0.424244989755084</v>
      </c>
      <c r="W276" s="2" t="s">
        <v>134</v>
      </c>
      <c r="X276" s="2" t="s">
        <v>146</v>
      </c>
      <c r="Y276" s="2" t="s">
        <v>156</v>
      </c>
      <c r="Z276" s="9" t="n">
        <v>1</v>
      </c>
    </row>
    <row r="277" customFormat="false" ht="15" hidden="false" customHeight="false" outlineLevel="0" collapsed="false">
      <c r="A277" s="5" t="s">
        <v>475</v>
      </c>
      <c r="B277" s="10" t="n">
        <v>46167.5729166667</v>
      </c>
      <c r="C277" s="5" t="s">
        <v>126</v>
      </c>
      <c r="D277" s="5" t="s">
        <v>164</v>
      </c>
      <c r="E277" s="5" t="s">
        <v>165</v>
      </c>
      <c r="F277" s="5" t="s">
        <v>166</v>
      </c>
      <c r="G277" s="5" t="s">
        <v>167</v>
      </c>
      <c r="H277" s="5" t="s">
        <v>131</v>
      </c>
      <c r="I277" s="5" t="s">
        <v>132</v>
      </c>
      <c r="J277" s="5" t="s">
        <v>133</v>
      </c>
      <c r="K277" s="5" t="s">
        <v>200</v>
      </c>
      <c r="L277" s="6" t="n">
        <v>22.81</v>
      </c>
      <c r="M277" s="6" t="n">
        <v>67.42</v>
      </c>
      <c r="N277" s="6" t="n">
        <v>228.08</v>
      </c>
      <c r="O277" s="6" t="n">
        <v>9.95</v>
      </c>
      <c r="P277" s="6" t="n">
        <v>177.86</v>
      </c>
      <c r="Q277" s="6" t="n">
        <v>37.36</v>
      </c>
      <c r="R277" s="6" t="n">
        <f aca="false">P277+Q277</f>
        <v>215.22</v>
      </c>
      <c r="S277" s="6" t="n">
        <v>0</v>
      </c>
      <c r="T277" s="6" t="n">
        <v>148.2</v>
      </c>
      <c r="U277" s="6" t="n">
        <v>21.44</v>
      </c>
      <c r="V277" s="7" t="n">
        <f aca="false">IF(P277-(O277/1.21)=0,0,U277/(P277-(O277/1.21)))</f>
        <v>0.126387626266317</v>
      </c>
      <c r="W277" s="5" t="s">
        <v>169</v>
      </c>
      <c r="X277" s="5" t="s">
        <v>146</v>
      </c>
      <c r="Y277" s="5" t="s">
        <v>177</v>
      </c>
      <c r="Z277" s="11" t="n">
        <v>2</v>
      </c>
    </row>
    <row r="278" customFormat="false" ht="15" hidden="false" customHeight="false" outlineLevel="0" collapsed="false">
      <c r="A278" s="2" t="s">
        <v>476</v>
      </c>
      <c r="B278" s="8" t="n">
        <v>46167.8645833333</v>
      </c>
      <c r="C278" s="2" t="s">
        <v>126</v>
      </c>
      <c r="D278" s="2" t="s">
        <v>179</v>
      </c>
      <c r="E278" s="2" t="s">
        <v>180</v>
      </c>
      <c r="F278" s="2" t="s">
        <v>181</v>
      </c>
      <c r="G278" s="2" t="s">
        <v>182</v>
      </c>
      <c r="H278" s="2" t="s">
        <v>131</v>
      </c>
      <c r="I278" s="2" t="s">
        <v>176</v>
      </c>
      <c r="J278" s="2" t="s">
        <v>133</v>
      </c>
      <c r="K278" s="2"/>
      <c r="L278" s="3" t="n">
        <v>0</v>
      </c>
      <c r="M278" s="3" t="n">
        <v>0</v>
      </c>
      <c r="N278" s="3" t="n">
        <v>22.9</v>
      </c>
      <c r="O278" s="3" t="n">
        <v>4.95</v>
      </c>
      <c r="P278" s="3" t="n">
        <v>23.02</v>
      </c>
      <c r="Q278" s="3" t="n">
        <v>4.83</v>
      </c>
      <c r="R278" s="3" t="n">
        <f aca="false">P278+Q278</f>
        <v>27.85</v>
      </c>
      <c r="S278" s="3" t="n">
        <v>22.9</v>
      </c>
      <c r="T278" s="3" t="n">
        <v>8</v>
      </c>
      <c r="U278" s="3" t="n">
        <v>10.93</v>
      </c>
      <c r="V278" s="4" t="n">
        <f aca="false">IF(P278-(O278/1.21)=0,0,U278/(P278-(O278/1.21)))</f>
        <v>0.577418115454807</v>
      </c>
      <c r="W278" s="2" t="s">
        <v>145</v>
      </c>
      <c r="X278" s="2" t="s">
        <v>170</v>
      </c>
      <c r="Y278" s="2" t="s">
        <v>156</v>
      </c>
      <c r="Z278" s="9" t="n">
        <v>1</v>
      </c>
    </row>
    <row r="279" customFormat="false" ht="15" hidden="false" customHeight="false" outlineLevel="0" collapsed="false">
      <c r="A279" s="5" t="s">
        <v>477</v>
      </c>
      <c r="B279" s="10" t="n">
        <v>46168.7916666667</v>
      </c>
      <c r="C279" s="5" t="s">
        <v>172</v>
      </c>
      <c r="D279" s="5" t="s">
        <v>217</v>
      </c>
      <c r="E279" s="5" t="s">
        <v>218</v>
      </c>
      <c r="F279" s="5" t="s">
        <v>219</v>
      </c>
      <c r="G279" s="5" t="s">
        <v>220</v>
      </c>
      <c r="H279" s="5" t="s">
        <v>131</v>
      </c>
      <c r="I279" s="5" t="s">
        <v>132</v>
      </c>
      <c r="J279" s="5" t="s">
        <v>133</v>
      </c>
      <c r="K279" s="5" t="s">
        <v>144</v>
      </c>
      <c r="L279" s="6" t="n">
        <v>3.98</v>
      </c>
      <c r="M279" s="6" t="n">
        <v>0</v>
      </c>
      <c r="N279" s="6" t="n">
        <v>19.92</v>
      </c>
      <c r="O279" s="6" t="n">
        <v>4.95</v>
      </c>
      <c r="P279" s="6" t="n">
        <v>18.58</v>
      </c>
      <c r="Q279" s="6" t="n">
        <v>2.31</v>
      </c>
      <c r="R279" s="6" t="n">
        <f aca="false">P279+Q279</f>
        <v>20.89</v>
      </c>
      <c r="S279" s="6" t="n">
        <v>0</v>
      </c>
      <c r="T279" s="6" t="n">
        <v>12</v>
      </c>
      <c r="U279" s="6" t="n">
        <v>2.49</v>
      </c>
      <c r="V279" s="7" t="n">
        <f aca="false">IF(P279-(O279/1.21)=0,0,U279/(P279-(O279/1.21)))</f>
        <v>0.171853432049191</v>
      </c>
      <c r="W279" s="5" t="s">
        <v>145</v>
      </c>
      <c r="X279" s="5" t="s">
        <v>170</v>
      </c>
      <c r="Y279" s="5" t="s">
        <v>156</v>
      </c>
      <c r="Z279" s="11" t="n">
        <v>1</v>
      </c>
    </row>
    <row r="280" customFormat="false" ht="15" hidden="false" customHeight="false" outlineLevel="0" collapsed="false">
      <c r="A280" s="2" t="s">
        <v>478</v>
      </c>
      <c r="B280" s="8" t="n">
        <v>46168.875</v>
      </c>
      <c r="C280" s="2" t="s">
        <v>126</v>
      </c>
      <c r="D280" s="2" t="s">
        <v>164</v>
      </c>
      <c r="E280" s="2" t="s">
        <v>165</v>
      </c>
      <c r="F280" s="2" t="s">
        <v>166</v>
      </c>
      <c r="G280" s="2" t="s">
        <v>167</v>
      </c>
      <c r="H280" s="2" t="s">
        <v>131</v>
      </c>
      <c r="I280" s="2" t="s">
        <v>185</v>
      </c>
      <c r="J280" s="2" t="s">
        <v>185</v>
      </c>
      <c r="K280" s="2"/>
      <c r="L280" s="3" t="n">
        <v>0</v>
      </c>
      <c r="M280" s="3" t="n">
        <v>22.5</v>
      </c>
      <c r="N280" s="3" t="n">
        <v>165.7</v>
      </c>
      <c r="O280" s="3" t="n">
        <v>0</v>
      </c>
      <c r="P280" s="3" t="n">
        <v>136.94</v>
      </c>
      <c r="Q280" s="3" t="n">
        <v>28.76</v>
      </c>
      <c r="R280" s="3" t="n">
        <f aca="false">P280+Q280</f>
        <v>165.7</v>
      </c>
      <c r="S280" s="3" t="n">
        <v>0</v>
      </c>
      <c r="T280" s="3" t="n">
        <v>68.9</v>
      </c>
      <c r="U280" s="3" t="n">
        <v>68.04</v>
      </c>
      <c r="V280" s="4" t="n">
        <f aca="false">IF(P280-(O280/1.21)=0,0,U280/(P280-(O280/1.21)))</f>
        <v>0.496859938659267</v>
      </c>
      <c r="W280" s="2" t="s">
        <v>153</v>
      </c>
      <c r="X280" s="2" t="s">
        <v>135</v>
      </c>
      <c r="Y280" s="2" t="s">
        <v>177</v>
      </c>
      <c r="Z280" s="9" t="n">
        <v>3</v>
      </c>
    </row>
    <row r="281" customFormat="false" ht="15" hidden="false" customHeight="false" outlineLevel="0" collapsed="false">
      <c r="A281" s="5" t="s">
        <v>479</v>
      </c>
      <c r="B281" s="10" t="n">
        <v>46170.7291666667</v>
      </c>
      <c r="C281" s="5" t="s">
        <v>126</v>
      </c>
      <c r="D281" s="5" t="s">
        <v>149</v>
      </c>
      <c r="E281" s="5" t="s">
        <v>150</v>
      </c>
      <c r="F281" s="5" t="s">
        <v>151</v>
      </c>
      <c r="G281" s="5" t="s">
        <v>152</v>
      </c>
      <c r="H281" s="5" t="s">
        <v>131</v>
      </c>
      <c r="I281" s="5" t="s">
        <v>176</v>
      </c>
      <c r="J281" s="5" t="s">
        <v>133</v>
      </c>
      <c r="K281" s="5"/>
      <c r="L281" s="6" t="n">
        <v>0</v>
      </c>
      <c r="M281" s="6" t="n">
        <v>0</v>
      </c>
      <c r="N281" s="6" t="n">
        <v>19.9</v>
      </c>
      <c r="O281" s="6" t="n">
        <v>9.95</v>
      </c>
      <c r="P281" s="6" t="n">
        <v>24.67</v>
      </c>
      <c r="Q281" s="6" t="n">
        <v>5.18</v>
      </c>
      <c r="R281" s="6" t="n">
        <f aca="false">P281+Q281</f>
        <v>29.85</v>
      </c>
      <c r="S281" s="6" t="n">
        <v>19.9</v>
      </c>
      <c r="T281" s="6" t="n">
        <v>7</v>
      </c>
      <c r="U281" s="6" t="n">
        <v>9.45</v>
      </c>
      <c r="V281" s="7" t="n">
        <f aca="false">IF(P281-(O281/1.21)=0,0,U281/(P281-(O281/1.21)))</f>
        <v>0.574577778671102</v>
      </c>
      <c r="W281" s="5" t="s">
        <v>162</v>
      </c>
      <c r="X281" s="5" t="s">
        <v>146</v>
      </c>
      <c r="Y281" s="5" t="s">
        <v>156</v>
      </c>
      <c r="Z281" s="11" t="n">
        <v>1</v>
      </c>
    </row>
    <row r="282" customFormat="false" ht="15" hidden="false" customHeight="false" outlineLevel="0" collapsed="false">
      <c r="A282" s="2" t="s">
        <v>480</v>
      </c>
      <c r="B282" s="8" t="n">
        <v>46172.7083333333</v>
      </c>
      <c r="C282" s="2" t="s">
        <v>148</v>
      </c>
      <c r="D282" s="2" t="s">
        <v>179</v>
      </c>
      <c r="E282" s="2" t="s">
        <v>180</v>
      </c>
      <c r="F282" s="2" t="s">
        <v>181</v>
      </c>
      <c r="G282" s="2" t="s">
        <v>182</v>
      </c>
      <c r="H282" s="2" t="s">
        <v>131</v>
      </c>
      <c r="I282" s="2" t="s">
        <v>231</v>
      </c>
      <c r="J282" s="2" t="s">
        <v>133</v>
      </c>
      <c r="K282" s="2" t="s">
        <v>186</v>
      </c>
      <c r="L282" s="3" t="n">
        <v>0</v>
      </c>
      <c r="M282" s="3" t="n">
        <v>0</v>
      </c>
      <c r="N282" s="3" t="n">
        <v>194.7</v>
      </c>
      <c r="O282" s="3" t="n">
        <v>0</v>
      </c>
      <c r="P282" s="3" t="n">
        <v>160.91</v>
      </c>
      <c r="Q282" s="3" t="n">
        <v>33.79</v>
      </c>
      <c r="R282" s="3" t="n">
        <f aca="false">P282+Q282</f>
        <v>194.7</v>
      </c>
      <c r="S282" s="3" t="n">
        <v>194.7</v>
      </c>
      <c r="T282" s="3" t="n">
        <v>84</v>
      </c>
      <c r="U282" s="3" t="n">
        <v>76.91</v>
      </c>
      <c r="V282" s="4" t="n">
        <f aca="false">IF(P282-(O282/1.21)=0,0,U282/(P282-(O282/1.21)))</f>
        <v>0.477969051022311</v>
      </c>
      <c r="W282" s="2" t="s">
        <v>153</v>
      </c>
      <c r="X282" s="2" t="s">
        <v>170</v>
      </c>
      <c r="Y282" s="2" t="s">
        <v>156</v>
      </c>
      <c r="Z282" s="9" t="n">
        <v>1</v>
      </c>
    </row>
    <row r="283" customFormat="false" ht="15" hidden="false" customHeight="false" outlineLevel="0" collapsed="false">
      <c r="A283" s="5" t="s">
        <v>481</v>
      </c>
      <c r="B283" s="10" t="n">
        <v>46173.46875</v>
      </c>
      <c r="C283" s="5" t="s">
        <v>138</v>
      </c>
      <c r="D283" s="5" t="s">
        <v>139</v>
      </c>
      <c r="E283" s="5" t="s">
        <v>140</v>
      </c>
      <c r="F283" s="5" t="s">
        <v>141</v>
      </c>
      <c r="G283" s="5" t="s">
        <v>142</v>
      </c>
      <c r="H283" s="5" t="s">
        <v>143</v>
      </c>
      <c r="I283" s="5" t="s">
        <v>132</v>
      </c>
      <c r="J283" s="5" t="s">
        <v>133</v>
      </c>
      <c r="K283" s="5"/>
      <c r="L283" s="6" t="n">
        <v>0</v>
      </c>
      <c r="M283" s="6" t="n">
        <v>0</v>
      </c>
      <c r="N283" s="6" t="n">
        <v>89.8</v>
      </c>
      <c r="O283" s="6" t="n">
        <v>4.95</v>
      </c>
      <c r="P283" s="6" t="n">
        <v>78.3</v>
      </c>
      <c r="Q283" s="6" t="n">
        <v>16.45</v>
      </c>
      <c r="R283" s="6" t="n">
        <f aca="false">P283+Q283</f>
        <v>94.75</v>
      </c>
      <c r="S283" s="6" t="n">
        <v>0</v>
      </c>
      <c r="T283" s="6" t="n">
        <v>38</v>
      </c>
      <c r="U283" s="6" t="n">
        <v>36.21</v>
      </c>
      <c r="V283" s="7" t="n">
        <f aca="false">IF(P283-(O283/1.21)=0,0,U283/(P283-(O283/1.21)))</f>
        <v>0.487945608232268</v>
      </c>
      <c r="W283" s="5" t="s">
        <v>169</v>
      </c>
      <c r="X283" s="5" t="s">
        <v>170</v>
      </c>
      <c r="Y283" s="5" t="s">
        <v>156</v>
      </c>
      <c r="Z283" s="11" t="n">
        <v>1</v>
      </c>
    </row>
    <row r="284" customFormat="false" ht="15" hidden="false" customHeight="false" outlineLevel="0" collapsed="false">
      <c r="A284" s="2" t="s">
        <v>482</v>
      </c>
      <c r="B284" s="8" t="n">
        <v>46176.5104166667</v>
      </c>
      <c r="C284" s="2" t="s">
        <v>148</v>
      </c>
      <c r="D284" s="2" t="s">
        <v>179</v>
      </c>
      <c r="E284" s="2" t="s">
        <v>180</v>
      </c>
      <c r="F284" s="2" t="s">
        <v>181</v>
      </c>
      <c r="G284" s="2" t="s">
        <v>182</v>
      </c>
      <c r="H284" s="2" t="s">
        <v>131</v>
      </c>
      <c r="I284" s="2" t="s">
        <v>231</v>
      </c>
      <c r="J284" s="2" t="s">
        <v>133</v>
      </c>
      <c r="K284" s="2" t="s">
        <v>186</v>
      </c>
      <c r="L284" s="3" t="n">
        <v>0</v>
      </c>
      <c r="M284" s="3" t="n">
        <v>7.98</v>
      </c>
      <c r="N284" s="3" t="n">
        <v>181.62</v>
      </c>
      <c r="O284" s="3" t="n">
        <v>0</v>
      </c>
      <c r="P284" s="3" t="n">
        <v>150.1</v>
      </c>
      <c r="Q284" s="3" t="n">
        <v>31.52</v>
      </c>
      <c r="R284" s="3" t="n">
        <f aca="false">P284+Q284</f>
        <v>181.62</v>
      </c>
      <c r="S284" s="3" t="n">
        <v>181.62</v>
      </c>
      <c r="T284" s="3" t="n">
        <v>76</v>
      </c>
      <c r="U284" s="3" t="n">
        <v>74.1</v>
      </c>
      <c r="V284" s="4" t="n">
        <f aca="false">IF(P284-(O284/1.21)=0,0,U284/(P284-(O284/1.21)))</f>
        <v>0.493670886075949</v>
      </c>
      <c r="W284" s="2" t="s">
        <v>145</v>
      </c>
      <c r="X284" s="2" t="s">
        <v>170</v>
      </c>
      <c r="Y284" s="2" t="s">
        <v>136</v>
      </c>
      <c r="Z284" s="9" t="n">
        <v>2</v>
      </c>
    </row>
    <row r="285" customFormat="false" ht="15" hidden="false" customHeight="false" outlineLevel="0" collapsed="false">
      <c r="A285" s="5" t="s">
        <v>483</v>
      </c>
      <c r="B285" s="10" t="n">
        <v>46177.46875</v>
      </c>
      <c r="C285" s="5" t="s">
        <v>126</v>
      </c>
      <c r="D285" s="5" t="s">
        <v>127</v>
      </c>
      <c r="E285" s="5" t="s">
        <v>128</v>
      </c>
      <c r="F285" s="5" t="s">
        <v>129</v>
      </c>
      <c r="G285" s="5" t="s">
        <v>130</v>
      </c>
      <c r="H285" s="5" t="s">
        <v>131</v>
      </c>
      <c r="I285" s="5" t="s">
        <v>132</v>
      </c>
      <c r="J285" s="5" t="s">
        <v>133</v>
      </c>
      <c r="K285" s="5"/>
      <c r="L285" s="6" t="n">
        <v>0</v>
      </c>
      <c r="M285" s="6" t="n">
        <v>0</v>
      </c>
      <c r="N285" s="6" t="n">
        <v>64.9</v>
      </c>
      <c r="O285" s="6" t="n">
        <v>9.95</v>
      </c>
      <c r="P285" s="6" t="n">
        <v>61.86</v>
      </c>
      <c r="Q285" s="6" t="n">
        <v>12.99</v>
      </c>
      <c r="R285" s="6" t="n">
        <f aca="false">P285+Q285</f>
        <v>74.85</v>
      </c>
      <c r="S285" s="6" t="n">
        <v>0</v>
      </c>
      <c r="T285" s="6" t="n">
        <v>28</v>
      </c>
      <c r="U285" s="6" t="n">
        <v>25.64</v>
      </c>
      <c r="V285" s="7" t="n">
        <f aca="false">IF(P285-(O285/1.21)=0,0,U285/(P285-(O285/1.21)))</f>
        <v>0.478029478926235</v>
      </c>
      <c r="W285" s="5" t="s">
        <v>162</v>
      </c>
      <c r="X285" s="5" t="s">
        <v>146</v>
      </c>
      <c r="Y285" s="5" t="s">
        <v>136</v>
      </c>
      <c r="Z285" s="11" t="n">
        <v>1</v>
      </c>
    </row>
    <row r="286" customFormat="false" ht="15" hidden="false" customHeight="false" outlineLevel="0" collapsed="false">
      <c r="A286" s="2" t="s">
        <v>484</v>
      </c>
      <c r="B286" s="8" t="n">
        <v>46177.6041666667</v>
      </c>
      <c r="C286" s="2" t="s">
        <v>138</v>
      </c>
      <c r="D286" s="2" t="s">
        <v>139</v>
      </c>
      <c r="E286" s="2" t="s">
        <v>140</v>
      </c>
      <c r="F286" s="2" t="s">
        <v>141</v>
      </c>
      <c r="G286" s="2" t="s">
        <v>142</v>
      </c>
      <c r="H286" s="2" t="s">
        <v>143</v>
      </c>
      <c r="I286" s="2" t="s">
        <v>132</v>
      </c>
      <c r="J286" s="2" t="s">
        <v>133</v>
      </c>
      <c r="K286" s="2" t="s">
        <v>200</v>
      </c>
      <c r="L286" s="3" t="n">
        <v>7.47</v>
      </c>
      <c r="M286" s="3" t="n">
        <v>0</v>
      </c>
      <c r="N286" s="3" t="n">
        <v>74.7</v>
      </c>
      <c r="O286" s="3" t="n">
        <v>9.95</v>
      </c>
      <c r="P286" s="3" t="n">
        <v>63.78</v>
      </c>
      <c r="Q286" s="3" t="n">
        <v>13.4</v>
      </c>
      <c r="R286" s="3" t="n">
        <f aca="false">P286+Q286</f>
        <v>77.18</v>
      </c>
      <c r="S286" s="3" t="n">
        <v>0</v>
      </c>
      <c r="T286" s="3" t="n">
        <v>25.5</v>
      </c>
      <c r="U286" s="3" t="n">
        <v>30.06</v>
      </c>
      <c r="V286" s="4" t="n">
        <f aca="false">IF(P286-(O286/1.21)=0,0,U286/(P286-(O286/1.21)))</f>
        <v>0.541067300569144</v>
      </c>
      <c r="W286" s="2" t="s">
        <v>169</v>
      </c>
      <c r="X286" s="2" t="s">
        <v>146</v>
      </c>
      <c r="Y286" s="2" t="s">
        <v>136</v>
      </c>
      <c r="Z286" s="9" t="n">
        <v>1</v>
      </c>
    </row>
    <row r="287" customFormat="false" ht="15" hidden="false" customHeight="false" outlineLevel="0" collapsed="false">
      <c r="A287" s="5" t="s">
        <v>485</v>
      </c>
      <c r="B287" s="10" t="n">
        <v>46177.875</v>
      </c>
      <c r="C287" s="5" t="s">
        <v>126</v>
      </c>
      <c r="D287" s="5" t="s">
        <v>223</v>
      </c>
      <c r="E287" s="5" t="s">
        <v>224</v>
      </c>
      <c r="F287" s="5" t="s">
        <v>225</v>
      </c>
      <c r="G287" s="5" t="s">
        <v>226</v>
      </c>
      <c r="H287" s="5" t="s">
        <v>131</v>
      </c>
      <c r="I287" s="5" t="s">
        <v>132</v>
      </c>
      <c r="J287" s="5" t="s">
        <v>133</v>
      </c>
      <c r="K287" s="5" t="s">
        <v>168</v>
      </c>
      <c r="L287" s="6" t="n">
        <v>10.48</v>
      </c>
      <c r="M287" s="6" t="n">
        <v>0</v>
      </c>
      <c r="N287" s="6" t="n">
        <v>69.9</v>
      </c>
      <c r="O287" s="6" t="n">
        <v>9.95</v>
      </c>
      <c r="P287" s="6" t="n">
        <v>57.33</v>
      </c>
      <c r="Q287" s="6" t="n">
        <v>12.04</v>
      </c>
      <c r="R287" s="6" t="n">
        <f aca="false">P287+Q287</f>
        <v>69.37</v>
      </c>
      <c r="S287" s="6" t="n">
        <v>0</v>
      </c>
      <c r="T287" s="6" t="n">
        <v>29</v>
      </c>
      <c r="U287" s="6" t="n">
        <v>20.11</v>
      </c>
      <c r="V287" s="7" t="n">
        <f aca="false">IF(P287-(O287/1.21)=0,0,U287/(P287-(O287/1.21)))</f>
        <v>0.409515090214796</v>
      </c>
      <c r="W287" s="5" t="s">
        <v>153</v>
      </c>
      <c r="X287" s="5" t="s">
        <v>146</v>
      </c>
      <c r="Y287" s="5" t="s">
        <v>177</v>
      </c>
      <c r="Z287" s="11" t="n">
        <v>1</v>
      </c>
    </row>
    <row r="288" customFormat="false" ht="15" hidden="false" customHeight="false" outlineLevel="0" collapsed="false">
      <c r="A288" s="2" t="s">
        <v>486</v>
      </c>
      <c r="B288" s="8" t="n">
        <v>46178.59375</v>
      </c>
      <c r="C288" s="2" t="s">
        <v>126</v>
      </c>
      <c r="D288" s="2" t="s">
        <v>223</v>
      </c>
      <c r="E288" s="2" t="s">
        <v>224</v>
      </c>
      <c r="F288" s="2" t="s">
        <v>225</v>
      </c>
      <c r="G288" s="2" t="s">
        <v>226</v>
      </c>
      <c r="H288" s="2" t="s">
        <v>131</v>
      </c>
      <c r="I288" s="2" t="s">
        <v>132</v>
      </c>
      <c r="J288" s="2" t="s">
        <v>133</v>
      </c>
      <c r="K288" s="2"/>
      <c r="L288" s="3" t="n">
        <v>0</v>
      </c>
      <c r="M288" s="3" t="n">
        <v>0</v>
      </c>
      <c r="N288" s="3" t="n">
        <v>24.9</v>
      </c>
      <c r="O288" s="3" t="n">
        <v>9.95</v>
      </c>
      <c r="P288" s="3" t="n">
        <v>28.8</v>
      </c>
      <c r="Q288" s="3" t="n">
        <v>6.05</v>
      </c>
      <c r="R288" s="3" t="n">
        <f aca="false">P288+Q288</f>
        <v>34.85</v>
      </c>
      <c r="S288" s="3" t="n">
        <v>0</v>
      </c>
      <c r="T288" s="3" t="n">
        <v>9.8</v>
      </c>
      <c r="U288" s="3" t="n">
        <v>10.78</v>
      </c>
      <c r="V288" s="4" t="n">
        <f aca="false">IF(P288-(O288/1.21)=0,0,U288/(P288-(O288/1.21)))</f>
        <v>0.523889469033657</v>
      </c>
      <c r="W288" s="2" t="s">
        <v>153</v>
      </c>
      <c r="X288" s="2" t="s">
        <v>146</v>
      </c>
      <c r="Y288" s="2" t="s">
        <v>156</v>
      </c>
      <c r="Z288" s="9" t="n">
        <v>1</v>
      </c>
    </row>
    <row r="289" customFormat="false" ht="15" hidden="false" customHeight="false" outlineLevel="0" collapsed="false">
      <c r="A289" s="5" t="s">
        <v>487</v>
      </c>
      <c r="B289" s="10" t="n">
        <v>46179.71875</v>
      </c>
      <c r="C289" s="5" t="s">
        <v>138</v>
      </c>
      <c r="D289" s="5" t="s">
        <v>217</v>
      </c>
      <c r="E289" s="5" t="s">
        <v>218</v>
      </c>
      <c r="F289" s="5" t="s">
        <v>219</v>
      </c>
      <c r="G289" s="5" t="s">
        <v>220</v>
      </c>
      <c r="H289" s="5" t="s">
        <v>131</v>
      </c>
      <c r="I289" s="5" t="s">
        <v>132</v>
      </c>
      <c r="J289" s="5" t="s">
        <v>133</v>
      </c>
      <c r="K289" s="5" t="s">
        <v>168</v>
      </c>
      <c r="L289" s="6" t="n">
        <v>5.62</v>
      </c>
      <c r="M289" s="6" t="n">
        <v>6.38</v>
      </c>
      <c r="N289" s="6" t="n">
        <v>37.47</v>
      </c>
      <c r="O289" s="6" t="n">
        <v>4.95</v>
      </c>
      <c r="P289" s="6" t="n">
        <v>33.05</v>
      </c>
      <c r="Q289" s="6" t="n">
        <v>3.75</v>
      </c>
      <c r="R289" s="6" t="n">
        <f aca="false">P289+Q289</f>
        <v>36.8</v>
      </c>
      <c r="S289" s="6" t="n">
        <v>0</v>
      </c>
      <c r="T289" s="6" t="n">
        <v>19.5</v>
      </c>
      <c r="U289" s="6" t="n">
        <v>9.46</v>
      </c>
      <c r="V289" s="7" t="n">
        <f aca="false">IF(P289-(O289/1.21)=0,0,U289/(P289-(O289/1.21)))</f>
        <v>0.326667713074871</v>
      </c>
      <c r="W289" s="5" t="s">
        <v>153</v>
      </c>
      <c r="X289" s="5" t="s">
        <v>170</v>
      </c>
      <c r="Y289" s="5" t="s">
        <v>136</v>
      </c>
      <c r="Z289" s="11" t="n">
        <v>2</v>
      </c>
    </row>
    <row r="290" customFormat="false" ht="15" hidden="false" customHeight="false" outlineLevel="0" collapsed="false">
      <c r="A290" s="2" t="s">
        <v>488</v>
      </c>
      <c r="B290" s="8" t="n">
        <v>46180.59375</v>
      </c>
      <c r="C290" s="2" t="s">
        <v>126</v>
      </c>
      <c r="D290" s="2" t="s">
        <v>164</v>
      </c>
      <c r="E290" s="2" t="s">
        <v>165</v>
      </c>
      <c r="F290" s="2" t="s">
        <v>166</v>
      </c>
      <c r="G290" s="2" t="s">
        <v>167</v>
      </c>
      <c r="H290" s="2" t="s">
        <v>131</v>
      </c>
      <c r="I290" s="2" t="s">
        <v>132</v>
      </c>
      <c r="J290" s="2" t="s">
        <v>133</v>
      </c>
      <c r="K290" s="2"/>
      <c r="L290" s="3" t="n">
        <v>0</v>
      </c>
      <c r="M290" s="3" t="n">
        <v>14.21</v>
      </c>
      <c r="N290" s="3" t="n">
        <v>220.09</v>
      </c>
      <c r="O290" s="3" t="n">
        <v>9.95</v>
      </c>
      <c r="P290" s="3" t="n">
        <v>190.11</v>
      </c>
      <c r="Q290" s="3" t="n">
        <v>39.93</v>
      </c>
      <c r="R290" s="3" t="n">
        <f aca="false">P290+Q290</f>
        <v>230.04</v>
      </c>
      <c r="S290" s="3" t="n">
        <v>0</v>
      </c>
      <c r="T290" s="3" t="n">
        <v>93.8</v>
      </c>
      <c r="U290" s="3" t="n">
        <v>88.09</v>
      </c>
      <c r="V290" s="4" t="n">
        <f aca="false">IF(P290-(O290/1.21)=0,0,U290/(P290-(O290/1.21)))</f>
        <v>0.484312062125624</v>
      </c>
      <c r="W290" s="2" t="s">
        <v>169</v>
      </c>
      <c r="X290" s="2" t="s">
        <v>146</v>
      </c>
      <c r="Y290" s="2" t="s">
        <v>154</v>
      </c>
      <c r="Z290" s="9" t="n">
        <v>2</v>
      </c>
    </row>
    <row r="291" customFormat="false" ht="15" hidden="false" customHeight="false" outlineLevel="0" collapsed="false">
      <c r="A291" s="5" t="s">
        <v>489</v>
      </c>
      <c r="B291" s="10" t="n">
        <v>46181.8229166667</v>
      </c>
      <c r="C291" s="5" t="s">
        <v>172</v>
      </c>
      <c r="D291" s="5" t="s">
        <v>202</v>
      </c>
      <c r="E291" s="5" t="s">
        <v>203</v>
      </c>
      <c r="F291" s="5" t="s">
        <v>204</v>
      </c>
      <c r="G291" s="5" t="s">
        <v>205</v>
      </c>
      <c r="H291" s="5" t="s">
        <v>131</v>
      </c>
      <c r="I291" s="5" t="s">
        <v>132</v>
      </c>
      <c r="J291" s="5" t="s">
        <v>133</v>
      </c>
      <c r="K291" s="5"/>
      <c r="L291" s="6" t="n">
        <v>0</v>
      </c>
      <c r="M291" s="6" t="n">
        <v>7.47</v>
      </c>
      <c r="N291" s="6" t="n">
        <v>141.93</v>
      </c>
      <c r="O291" s="6" t="n">
        <v>4.95</v>
      </c>
      <c r="P291" s="6" t="n">
        <v>121.39</v>
      </c>
      <c r="Q291" s="6" t="n">
        <v>25.49</v>
      </c>
      <c r="R291" s="6" t="n">
        <f aca="false">P291+Q291</f>
        <v>146.88</v>
      </c>
      <c r="S291" s="6" t="n">
        <v>0</v>
      </c>
      <c r="T291" s="6" t="n">
        <v>51</v>
      </c>
      <c r="U291" s="6" t="n">
        <v>66.3</v>
      </c>
      <c r="V291" s="7" t="n">
        <f aca="false">IF(P291-(O291/1.21)=0,0,U291/(P291-(O291/1.21)))</f>
        <v>0.565221771849739</v>
      </c>
      <c r="W291" s="5" t="s">
        <v>153</v>
      </c>
      <c r="X291" s="5" t="s">
        <v>170</v>
      </c>
      <c r="Y291" s="5" t="s">
        <v>177</v>
      </c>
      <c r="Z291" s="11" t="n">
        <v>1</v>
      </c>
    </row>
    <row r="292" customFormat="false" ht="15" hidden="false" customHeight="false" outlineLevel="0" collapsed="false">
      <c r="A292" s="2" t="s">
        <v>490</v>
      </c>
      <c r="B292" s="8" t="n">
        <v>46183.8229166667</v>
      </c>
      <c r="C292" s="2" t="s">
        <v>126</v>
      </c>
      <c r="D292" s="2" t="s">
        <v>149</v>
      </c>
      <c r="E292" s="2" t="s">
        <v>150</v>
      </c>
      <c r="F292" s="2" t="s">
        <v>151</v>
      </c>
      <c r="G292" s="2" t="s">
        <v>152</v>
      </c>
      <c r="H292" s="2" t="s">
        <v>131</v>
      </c>
      <c r="I292" s="2" t="s">
        <v>185</v>
      </c>
      <c r="J292" s="2" t="s">
        <v>185</v>
      </c>
      <c r="K292" s="2" t="s">
        <v>168</v>
      </c>
      <c r="L292" s="3" t="n">
        <v>75.28</v>
      </c>
      <c r="M292" s="3" t="n">
        <v>19.9</v>
      </c>
      <c r="N292" s="3" t="n">
        <v>501.87</v>
      </c>
      <c r="O292" s="3" t="n">
        <v>4.95</v>
      </c>
      <c r="P292" s="3" t="n">
        <v>358.32</v>
      </c>
      <c r="Q292" s="3" t="n">
        <v>73.22</v>
      </c>
      <c r="R292" s="3" t="n">
        <f aca="false">P292+Q292</f>
        <v>431.54</v>
      </c>
      <c r="S292" s="3" t="n">
        <v>0</v>
      </c>
      <c r="T292" s="3" t="n">
        <v>240.2</v>
      </c>
      <c r="U292" s="3" t="n">
        <v>114.03</v>
      </c>
      <c r="V292" s="4" t="n">
        <f aca="false">IF(P292-(O292/1.21)=0,0,U292/(P292-(O292/1.21)))</f>
        <v>0.321910319977826</v>
      </c>
      <c r="W292" s="2" t="s">
        <v>162</v>
      </c>
      <c r="X292" s="2" t="s">
        <v>170</v>
      </c>
      <c r="Y292" s="2" t="s">
        <v>177</v>
      </c>
      <c r="Z292" s="9" t="n">
        <v>4</v>
      </c>
    </row>
    <row r="293" customFormat="false" ht="15" hidden="false" customHeight="false" outlineLevel="0" collapsed="false">
      <c r="A293" s="5" t="s">
        <v>491</v>
      </c>
      <c r="B293" s="10" t="n">
        <v>46183.8541666667</v>
      </c>
      <c r="C293" s="5" t="s">
        <v>148</v>
      </c>
      <c r="D293" s="5" t="s">
        <v>127</v>
      </c>
      <c r="E293" s="5" t="s">
        <v>128</v>
      </c>
      <c r="F293" s="5" t="s">
        <v>129</v>
      </c>
      <c r="G293" s="5" t="s">
        <v>130</v>
      </c>
      <c r="H293" s="5" t="s">
        <v>131</v>
      </c>
      <c r="I293" s="5" t="s">
        <v>176</v>
      </c>
      <c r="J293" s="5" t="s">
        <v>133</v>
      </c>
      <c r="K293" s="5"/>
      <c r="L293" s="6" t="n">
        <v>0</v>
      </c>
      <c r="M293" s="6" t="n">
        <v>81.25</v>
      </c>
      <c r="N293" s="6" t="n">
        <v>531.7</v>
      </c>
      <c r="O293" s="6" t="n">
        <v>0</v>
      </c>
      <c r="P293" s="6" t="n">
        <v>441.48</v>
      </c>
      <c r="Q293" s="6" t="n">
        <v>90.22</v>
      </c>
      <c r="R293" s="6" t="n">
        <f aca="false">P293+Q293</f>
        <v>531.7</v>
      </c>
      <c r="S293" s="6" t="n">
        <v>125.1</v>
      </c>
      <c r="T293" s="6" t="n">
        <v>433.5</v>
      </c>
      <c r="U293" s="6" t="n">
        <v>7.98</v>
      </c>
      <c r="V293" s="7" t="n">
        <f aca="false">IF(P293-(O293/1.21)=0,0,U293/(P293-(O293/1.21)))</f>
        <v>0.0180755640119598</v>
      </c>
      <c r="W293" s="5" t="s">
        <v>162</v>
      </c>
      <c r="X293" s="5" t="s">
        <v>135</v>
      </c>
      <c r="Y293" s="5" t="s">
        <v>136</v>
      </c>
      <c r="Z293" s="11" t="n">
        <v>3</v>
      </c>
    </row>
    <row r="294" customFormat="false" ht="15" hidden="false" customHeight="false" outlineLevel="0" collapsed="false">
      <c r="A294" s="2" t="s">
        <v>492</v>
      </c>
      <c r="B294" s="8" t="n">
        <v>46184.875</v>
      </c>
      <c r="C294" s="2" t="s">
        <v>138</v>
      </c>
      <c r="D294" s="2" t="s">
        <v>173</v>
      </c>
      <c r="E294" s="2" t="s">
        <v>174</v>
      </c>
      <c r="F294" s="2" t="s">
        <v>175</v>
      </c>
      <c r="G294" s="2" t="s">
        <v>161</v>
      </c>
      <c r="H294" s="2" t="s">
        <v>131</v>
      </c>
      <c r="I294" s="2" t="s">
        <v>132</v>
      </c>
      <c r="J294" s="2" t="s">
        <v>133</v>
      </c>
      <c r="K294" s="2" t="s">
        <v>200</v>
      </c>
      <c r="L294" s="3" t="n">
        <v>18.48</v>
      </c>
      <c r="M294" s="3" t="n">
        <v>0</v>
      </c>
      <c r="N294" s="3" t="n">
        <v>184.8</v>
      </c>
      <c r="O294" s="3" t="n">
        <v>4.95</v>
      </c>
      <c r="P294" s="3" t="n">
        <v>141.55</v>
      </c>
      <c r="Q294" s="3" t="n">
        <v>29.72</v>
      </c>
      <c r="R294" s="3" t="n">
        <f aca="false">P294+Q294</f>
        <v>171.27</v>
      </c>
      <c r="S294" s="3" t="n">
        <v>0</v>
      </c>
      <c r="T294" s="3" t="n">
        <v>78</v>
      </c>
      <c r="U294" s="3" t="n">
        <v>59.46</v>
      </c>
      <c r="V294" s="4" t="n">
        <f aca="false">IF(P294-(O294/1.21)=0,0,U294/(P294-(O294/1.21)))</f>
        <v>0.43256506067921</v>
      </c>
      <c r="W294" s="2" t="s">
        <v>153</v>
      </c>
      <c r="X294" s="2" t="s">
        <v>170</v>
      </c>
      <c r="Y294" s="2" t="s">
        <v>156</v>
      </c>
      <c r="Z294" s="9" t="n">
        <v>2</v>
      </c>
    </row>
    <row r="295" customFormat="false" ht="15" hidden="false" customHeight="false" outlineLevel="0" collapsed="false">
      <c r="A295" s="5" t="s">
        <v>493</v>
      </c>
      <c r="B295" s="10" t="n">
        <v>46185.84375</v>
      </c>
      <c r="C295" s="5" t="s">
        <v>126</v>
      </c>
      <c r="D295" s="5" t="s">
        <v>179</v>
      </c>
      <c r="E295" s="5" t="s">
        <v>180</v>
      </c>
      <c r="F295" s="5" t="s">
        <v>181</v>
      </c>
      <c r="G295" s="5" t="s">
        <v>182</v>
      </c>
      <c r="H295" s="5" t="s">
        <v>131</v>
      </c>
      <c r="I295" s="5" t="s">
        <v>132</v>
      </c>
      <c r="J295" s="5" t="s">
        <v>133</v>
      </c>
      <c r="K295" s="5" t="s">
        <v>144</v>
      </c>
      <c r="L295" s="6" t="n">
        <v>28.39</v>
      </c>
      <c r="M295" s="6" t="n">
        <v>7.47</v>
      </c>
      <c r="N295" s="6" t="n">
        <v>141.93</v>
      </c>
      <c r="O295" s="6" t="n">
        <v>0</v>
      </c>
      <c r="P295" s="6" t="n">
        <v>93.83</v>
      </c>
      <c r="Q295" s="6" t="n">
        <v>19.71</v>
      </c>
      <c r="R295" s="6" t="n">
        <f aca="false">P295+Q295</f>
        <v>113.54</v>
      </c>
      <c r="S295" s="6" t="n">
        <v>0</v>
      </c>
      <c r="T295" s="6" t="n">
        <v>51</v>
      </c>
      <c r="U295" s="6" t="n">
        <v>42.83</v>
      </c>
      <c r="V295" s="7" t="n">
        <f aca="false">IF(P295-(O295/1.21)=0,0,U295/(P295-(O295/1.21)))</f>
        <v>0.456463817542364</v>
      </c>
      <c r="W295" s="5" t="s">
        <v>169</v>
      </c>
      <c r="X295" s="5" t="s">
        <v>135</v>
      </c>
      <c r="Y295" s="5" t="s">
        <v>154</v>
      </c>
      <c r="Z295" s="11" t="n">
        <v>1</v>
      </c>
    </row>
    <row r="296" customFormat="false" ht="15" hidden="false" customHeight="false" outlineLevel="0" collapsed="false">
      <c r="A296" s="2" t="s">
        <v>494</v>
      </c>
      <c r="B296" s="8" t="n">
        <v>46186.40625</v>
      </c>
      <c r="C296" s="2" t="s">
        <v>126</v>
      </c>
      <c r="D296" s="2" t="s">
        <v>217</v>
      </c>
      <c r="E296" s="2" t="s">
        <v>218</v>
      </c>
      <c r="F296" s="2" t="s">
        <v>219</v>
      </c>
      <c r="G296" s="2" t="s">
        <v>220</v>
      </c>
      <c r="H296" s="2" t="s">
        <v>131</v>
      </c>
      <c r="I296" s="2" t="s">
        <v>132</v>
      </c>
      <c r="J296" s="2" t="s">
        <v>133</v>
      </c>
      <c r="K296" s="2"/>
      <c r="L296" s="3" t="n">
        <v>0</v>
      </c>
      <c r="M296" s="3" t="n">
        <v>0</v>
      </c>
      <c r="N296" s="3" t="n">
        <v>18.9</v>
      </c>
      <c r="O296" s="3" t="n">
        <v>4.95</v>
      </c>
      <c r="P296" s="3" t="n">
        <v>19.71</v>
      </c>
      <c r="Q296" s="3" t="n">
        <v>4.14</v>
      </c>
      <c r="R296" s="3" t="n">
        <f aca="false">P296+Q296</f>
        <v>23.85</v>
      </c>
      <c r="S296" s="3" t="n">
        <v>0</v>
      </c>
      <c r="T296" s="3" t="n">
        <v>6.5</v>
      </c>
      <c r="U296" s="3" t="n">
        <v>9.12</v>
      </c>
      <c r="V296" s="4" t="n">
        <f aca="false">IF(P296-(O296/1.21)=0,0,U296/(P296-(O296/1.21)))</f>
        <v>0.583900820674</v>
      </c>
      <c r="W296" s="2" t="s">
        <v>162</v>
      </c>
      <c r="X296" s="2" t="s">
        <v>170</v>
      </c>
      <c r="Y296" s="2" t="s">
        <v>154</v>
      </c>
      <c r="Z296" s="9" t="n">
        <v>1</v>
      </c>
    </row>
    <row r="297" customFormat="false" ht="15" hidden="false" customHeight="false" outlineLevel="0" collapsed="false">
      <c r="A297" s="5" t="s">
        <v>495</v>
      </c>
      <c r="B297" s="10" t="n">
        <v>46188.59375</v>
      </c>
      <c r="C297" s="5" t="s">
        <v>126</v>
      </c>
      <c r="D297" s="5" t="s">
        <v>164</v>
      </c>
      <c r="E297" s="5" t="s">
        <v>165</v>
      </c>
      <c r="F297" s="5" t="s">
        <v>166</v>
      </c>
      <c r="G297" s="5" t="s">
        <v>167</v>
      </c>
      <c r="H297" s="5" t="s">
        <v>131</v>
      </c>
      <c r="I297" s="5" t="s">
        <v>132</v>
      </c>
      <c r="J297" s="5" t="s">
        <v>133</v>
      </c>
      <c r="K297" s="5" t="s">
        <v>168</v>
      </c>
      <c r="L297" s="6" t="n">
        <v>11.8</v>
      </c>
      <c r="M297" s="6" t="n">
        <v>6.85</v>
      </c>
      <c r="N297" s="6" t="n">
        <v>78.65</v>
      </c>
      <c r="O297" s="6" t="n">
        <v>9.95</v>
      </c>
      <c r="P297" s="6" t="n">
        <v>63.46</v>
      </c>
      <c r="Q297" s="6" t="n">
        <v>13.34</v>
      </c>
      <c r="R297" s="6" t="n">
        <f aca="false">P297+Q297</f>
        <v>76.8</v>
      </c>
      <c r="S297" s="6" t="n">
        <v>0</v>
      </c>
      <c r="T297" s="6" t="n">
        <v>25.2</v>
      </c>
      <c r="U297" s="6" t="n">
        <v>30.04</v>
      </c>
      <c r="V297" s="7" t="n">
        <f aca="false">IF(P297-(O297/1.21)=0,0,U297/(P297-(O297/1.21)))</f>
        <v>0.543839752470952</v>
      </c>
      <c r="W297" s="5" t="s">
        <v>169</v>
      </c>
      <c r="X297" s="5" t="s">
        <v>146</v>
      </c>
      <c r="Y297" s="5" t="s">
        <v>136</v>
      </c>
      <c r="Z297" s="11" t="n">
        <v>2</v>
      </c>
    </row>
    <row r="298" customFormat="false" ht="15" hidden="false" customHeight="false" outlineLevel="0" collapsed="false">
      <c r="A298" s="2" t="s">
        <v>496</v>
      </c>
      <c r="B298" s="8" t="n">
        <v>46188.8229166667</v>
      </c>
      <c r="C298" s="2" t="s">
        <v>148</v>
      </c>
      <c r="D298" s="2" t="s">
        <v>158</v>
      </c>
      <c r="E298" s="2" t="s">
        <v>159</v>
      </c>
      <c r="F298" s="2" t="s">
        <v>160</v>
      </c>
      <c r="G298" s="2" t="s">
        <v>161</v>
      </c>
      <c r="H298" s="2" t="s">
        <v>131</v>
      </c>
      <c r="I298" s="2" t="s">
        <v>132</v>
      </c>
      <c r="J298" s="2" t="s">
        <v>133</v>
      </c>
      <c r="K298" s="2"/>
      <c r="L298" s="3" t="n">
        <v>0</v>
      </c>
      <c r="M298" s="3" t="n">
        <v>0</v>
      </c>
      <c r="N298" s="3" t="n">
        <v>13.47</v>
      </c>
      <c r="O298" s="3" t="n">
        <v>9.95</v>
      </c>
      <c r="P298" s="3" t="n">
        <v>20.47</v>
      </c>
      <c r="Q298" s="3" t="n">
        <v>2.95</v>
      </c>
      <c r="R298" s="3" t="n">
        <f aca="false">P298+Q298</f>
        <v>23.42</v>
      </c>
      <c r="S298" s="3" t="n">
        <v>0</v>
      </c>
      <c r="T298" s="3" t="n">
        <v>6.3</v>
      </c>
      <c r="U298" s="3" t="n">
        <v>5.95</v>
      </c>
      <c r="V298" s="4" t="n">
        <f aca="false">IF(P298-(O298/1.21)=0,0,U298/(P298-(O298/1.21)))</f>
        <v>0.485838838764534</v>
      </c>
      <c r="W298" s="2" t="s">
        <v>153</v>
      </c>
      <c r="X298" s="2" t="s">
        <v>146</v>
      </c>
      <c r="Y298" s="2" t="s">
        <v>154</v>
      </c>
      <c r="Z298" s="9" t="n">
        <v>1</v>
      </c>
    </row>
    <row r="299" customFormat="false" ht="15" hidden="false" customHeight="false" outlineLevel="0" collapsed="false">
      <c r="A299" s="5" t="s">
        <v>497</v>
      </c>
      <c r="B299" s="10" t="n">
        <v>46189.375</v>
      </c>
      <c r="C299" s="5" t="s">
        <v>126</v>
      </c>
      <c r="D299" s="5" t="s">
        <v>202</v>
      </c>
      <c r="E299" s="5" t="s">
        <v>203</v>
      </c>
      <c r="F299" s="5" t="s">
        <v>204</v>
      </c>
      <c r="G299" s="5" t="s">
        <v>205</v>
      </c>
      <c r="H299" s="5" t="s">
        <v>131</v>
      </c>
      <c r="I299" s="5" t="s">
        <v>132</v>
      </c>
      <c r="J299" s="5" t="s">
        <v>133</v>
      </c>
      <c r="K299" s="5"/>
      <c r="L299" s="6" t="n">
        <v>0</v>
      </c>
      <c r="M299" s="6" t="n">
        <v>0</v>
      </c>
      <c r="N299" s="6" t="n">
        <v>159.8</v>
      </c>
      <c r="O299" s="6" t="n">
        <v>9.95</v>
      </c>
      <c r="P299" s="6" t="n">
        <v>140.29</v>
      </c>
      <c r="Q299" s="6" t="n">
        <v>29.46</v>
      </c>
      <c r="R299" s="6" t="n">
        <f aca="false">P299+Q299</f>
        <v>169.75</v>
      </c>
      <c r="S299" s="6" t="n">
        <v>0</v>
      </c>
      <c r="T299" s="6" t="n">
        <v>67.5</v>
      </c>
      <c r="U299" s="6" t="n">
        <v>64.57</v>
      </c>
      <c r="V299" s="7" t="n">
        <f aca="false">IF(P299-(O299/1.21)=0,0,U299/(P299-(O299/1.21)))</f>
        <v>0.488919023610005</v>
      </c>
      <c r="W299" s="5" t="s">
        <v>153</v>
      </c>
      <c r="X299" s="5" t="s">
        <v>146</v>
      </c>
      <c r="Y299" s="5" t="s">
        <v>136</v>
      </c>
      <c r="Z299" s="11" t="n">
        <v>2</v>
      </c>
    </row>
    <row r="300" customFormat="false" ht="15" hidden="false" customHeight="false" outlineLevel="0" collapsed="false">
      <c r="A300" s="2" t="s">
        <v>498</v>
      </c>
      <c r="B300" s="8" t="n">
        <v>46190.6875</v>
      </c>
      <c r="C300" s="2" t="s">
        <v>126</v>
      </c>
      <c r="D300" s="2" t="s">
        <v>188</v>
      </c>
      <c r="E300" s="2" t="s">
        <v>189</v>
      </c>
      <c r="F300" s="2" t="s">
        <v>190</v>
      </c>
      <c r="G300" s="2" t="s">
        <v>191</v>
      </c>
      <c r="H300" s="2" t="s">
        <v>131</v>
      </c>
      <c r="I300" s="2" t="s">
        <v>132</v>
      </c>
      <c r="J300" s="2" t="s">
        <v>133</v>
      </c>
      <c r="K300" s="2" t="s">
        <v>144</v>
      </c>
      <c r="L300" s="3" t="n">
        <v>0.74</v>
      </c>
      <c r="M300" s="3" t="n">
        <v>0.2</v>
      </c>
      <c r="N300" s="3" t="n">
        <v>3.7</v>
      </c>
      <c r="O300" s="3" t="n">
        <v>0</v>
      </c>
      <c r="P300" s="3" t="n">
        <v>2.69</v>
      </c>
      <c r="Q300" s="3" t="n">
        <v>0.27</v>
      </c>
      <c r="R300" s="3" t="n">
        <f aca="false">P300+Q300</f>
        <v>2.96</v>
      </c>
      <c r="S300" s="3" t="n">
        <v>0</v>
      </c>
      <c r="T300" s="3" t="n">
        <v>2.5</v>
      </c>
      <c r="U300" s="3" t="n">
        <v>0.19</v>
      </c>
      <c r="V300" s="4" t="n">
        <f aca="false">IF(P300-(O300/1.21)=0,0,U300/(P300-(O300/1.21)))</f>
        <v>0.0706319702602231</v>
      </c>
      <c r="W300" s="2" t="s">
        <v>134</v>
      </c>
      <c r="X300" s="2" t="s">
        <v>135</v>
      </c>
      <c r="Y300" s="2" t="s">
        <v>156</v>
      </c>
      <c r="Z300" s="9" t="n">
        <v>1</v>
      </c>
    </row>
    <row r="301" customFormat="false" ht="15" hidden="false" customHeight="false" outlineLevel="0" collapsed="false">
      <c r="A301" s="5" t="s">
        <v>499</v>
      </c>
      <c r="B301" s="10" t="n">
        <v>46191.4791666667</v>
      </c>
      <c r="C301" s="5" t="s">
        <v>138</v>
      </c>
      <c r="D301" s="5" t="s">
        <v>217</v>
      </c>
      <c r="E301" s="5" t="s">
        <v>218</v>
      </c>
      <c r="F301" s="5" t="s">
        <v>219</v>
      </c>
      <c r="G301" s="5" t="s">
        <v>220</v>
      </c>
      <c r="H301" s="5" t="s">
        <v>131</v>
      </c>
      <c r="I301" s="5" t="s">
        <v>132</v>
      </c>
      <c r="J301" s="5" t="s">
        <v>133</v>
      </c>
      <c r="K301" s="5"/>
      <c r="L301" s="6" t="n">
        <v>0</v>
      </c>
      <c r="M301" s="6" t="n">
        <v>0</v>
      </c>
      <c r="N301" s="6" t="n">
        <v>427.95</v>
      </c>
      <c r="O301" s="6" t="n">
        <v>4.95</v>
      </c>
      <c r="P301" s="6" t="n">
        <v>360.16</v>
      </c>
      <c r="Q301" s="6" t="n">
        <v>72.74</v>
      </c>
      <c r="R301" s="6" t="n">
        <f aca="false">P301+Q301</f>
        <v>432.9</v>
      </c>
      <c r="S301" s="6" t="n">
        <v>0</v>
      </c>
      <c r="T301" s="6" t="n">
        <v>278.2</v>
      </c>
      <c r="U301" s="6" t="n">
        <v>77.87</v>
      </c>
      <c r="V301" s="7" t="n">
        <f aca="false">IF(P301-(O301/1.21)=0,0,U301/(P301-(O301/1.21)))</f>
        <v>0.218693511984395</v>
      </c>
      <c r="W301" s="5" t="s">
        <v>153</v>
      </c>
      <c r="X301" s="5" t="s">
        <v>170</v>
      </c>
      <c r="Y301" s="5" t="s">
        <v>154</v>
      </c>
      <c r="Z301" s="11" t="n">
        <v>3</v>
      </c>
    </row>
    <row r="302" customFormat="false" ht="15" hidden="false" customHeight="false" outlineLevel="0" collapsed="false">
      <c r="A302" s="2" t="s">
        <v>500</v>
      </c>
      <c r="B302" s="8" t="n">
        <v>46191.65625</v>
      </c>
      <c r="C302" s="2" t="s">
        <v>126</v>
      </c>
      <c r="D302" s="2" t="s">
        <v>149</v>
      </c>
      <c r="E302" s="2" t="s">
        <v>150</v>
      </c>
      <c r="F302" s="2" t="s">
        <v>151</v>
      </c>
      <c r="G302" s="2" t="s">
        <v>152</v>
      </c>
      <c r="H302" s="2" t="s">
        <v>131</v>
      </c>
      <c r="I302" s="2" t="s">
        <v>185</v>
      </c>
      <c r="J302" s="2" t="s">
        <v>185</v>
      </c>
      <c r="K302" s="2" t="s">
        <v>144</v>
      </c>
      <c r="L302" s="3" t="n">
        <v>7.98</v>
      </c>
      <c r="M302" s="3" t="n">
        <v>0</v>
      </c>
      <c r="N302" s="3" t="n">
        <v>39.9</v>
      </c>
      <c r="O302" s="3" t="n">
        <v>4.95</v>
      </c>
      <c r="P302" s="3" t="n">
        <v>30.47</v>
      </c>
      <c r="Q302" s="3" t="n">
        <v>6.4</v>
      </c>
      <c r="R302" s="3" t="n">
        <f aca="false">P302+Q302</f>
        <v>36.87</v>
      </c>
      <c r="S302" s="3" t="n">
        <v>0</v>
      </c>
      <c r="T302" s="3" t="n">
        <v>16</v>
      </c>
      <c r="U302" s="3" t="n">
        <v>10.38</v>
      </c>
      <c r="V302" s="4" t="n">
        <f aca="false">IF(P302-(O302/1.21)=0,0,U302/(P302-(O302/1.21)))</f>
        <v>0.393493469345556</v>
      </c>
      <c r="W302" s="2" t="s">
        <v>169</v>
      </c>
      <c r="X302" s="2" t="s">
        <v>170</v>
      </c>
      <c r="Y302" s="2" t="s">
        <v>154</v>
      </c>
      <c r="Z302" s="9" t="n">
        <v>1</v>
      </c>
    </row>
    <row r="303" customFormat="false" ht="15" hidden="false" customHeight="false" outlineLevel="0" collapsed="false">
      <c r="A303" s="5" t="s">
        <v>501</v>
      </c>
      <c r="B303" s="10" t="n">
        <v>46194.6354166667</v>
      </c>
      <c r="C303" s="5" t="s">
        <v>126</v>
      </c>
      <c r="D303" s="5" t="s">
        <v>179</v>
      </c>
      <c r="E303" s="5" t="s">
        <v>180</v>
      </c>
      <c r="F303" s="5" t="s">
        <v>181</v>
      </c>
      <c r="G303" s="5" t="s">
        <v>182</v>
      </c>
      <c r="H303" s="5" t="s">
        <v>131</v>
      </c>
      <c r="I303" s="5" t="s">
        <v>132</v>
      </c>
      <c r="J303" s="5" t="s">
        <v>133</v>
      </c>
      <c r="K303" s="5"/>
      <c r="L303" s="6" t="n">
        <v>0</v>
      </c>
      <c r="M303" s="6" t="n">
        <v>0</v>
      </c>
      <c r="N303" s="6" t="n">
        <v>57.27</v>
      </c>
      <c r="O303" s="6" t="n">
        <v>0</v>
      </c>
      <c r="P303" s="6" t="n">
        <v>47.95</v>
      </c>
      <c r="Q303" s="6" t="n">
        <v>9.32</v>
      </c>
      <c r="R303" s="6" t="n">
        <f aca="false">P303+Q303</f>
        <v>57.27</v>
      </c>
      <c r="S303" s="6" t="n">
        <v>0</v>
      </c>
      <c r="T303" s="6" t="n">
        <v>21.5</v>
      </c>
      <c r="U303" s="6" t="n">
        <v>26.45</v>
      </c>
      <c r="V303" s="7" t="n">
        <f aca="false">IF(P303-(O303/1.21)=0,0,U303/(P303-(O303/1.21)))</f>
        <v>0.551616266944734</v>
      </c>
      <c r="W303" s="5" t="s">
        <v>145</v>
      </c>
      <c r="X303" s="5" t="s">
        <v>135</v>
      </c>
      <c r="Y303" s="5" t="s">
        <v>156</v>
      </c>
      <c r="Z303" s="11" t="n">
        <v>2</v>
      </c>
    </row>
    <row r="304" customFormat="false" ht="15" hidden="false" customHeight="false" outlineLevel="0" collapsed="false">
      <c r="A304" s="2" t="s">
        <v>502</v>
      </c>
      <c r="B304" s="8" t="n">
        <v>46195.6354166667</v>
      </c>
      <c r="C304" s="2" t="s">
        <v>148</v>
      </c>
      <c r="D304" s="2" t="s">
        <v>223</v>
      </c>
      <c r="E304" s="2" t="s">
        <v>224</v>
      </c>
      <c r="F304" s="2" t="s">
        <v>225</v>
      </c>
      <c r="G304" s="2" t="s">
        <v>226</v>
      </c>
      <c r="H304" s="2" t="s">
        <v>131</v>
      </c>
      <c r="I304" s="2" t="s">
        <v>132</v>
      </c>
      <c r="J304" s="2" t="s">
        <v>133</v>
      </c>
      <c r="K304" s="2" t="s">
        <v>144</v>
      </c>
      <c r="L304" s="3" t="n">
        <v>80.82</v>
      </c>
      <c r="M304" s="3" t="n">
        <v>44.9</v>
      </c>
      <c r="N304" s="3" t="n">
        <v>404.1</v>
      </c>
      <c r="O304" s="3" t="n">
        <v>0</v>
      </c>
      <c r="P304" s="3" t="n">
        <v>267.17</v>
      </c>
      <c r="Q304" s="3" t="n">
        <v>56.11</v>
      </c>
      <c r="R304" s="3" t="n">
        <f aca="false">P304+Q304</f>
        <v>323.28</v>
      </c>
      <c r="S304" s="3" t="n">
        <v>0</v>
      </c>
      <c r="T304" s="3" t="n">
        <v>360</v>
      </c>
      <c r="U304" s="3" t="n">
        <v>-92.83</v>
      </c>
      <c r="V304" s="4" t="n">
        <f aca="false">IF(P304-(O304/1.21)=0,0,U304/(P304-(O304/1.21)))</f>
        <v>-0.347456675524947</v>
      </c>
      <c r="W304" s="2" t="s">
        <v>145</v>
      </c>
      <c r="X304" s="2" t="s">
        <v>135</v>
      </c>
      <c r="Y304" s="2" t="s">
        <v>136</v>
      </c>
      <c r="Z304" s="9" t="n">
        <v>1</v>
      </c>
    </row>
    <row r="305" customFormat="false" ht="15" hidden="false" customHeight="false" outlineLevel="0" collapsed="false">
      <c r="A305" s="5" t="s">
        <v>503</v>
      </c>
      <c r="B305" s="10" t="n">
        <v>46196.7083333333</v>
      </c>
      <c r="C305" s="5" t="s">
        <v>148</v>
      </c>
      <c r="D305" s="5" t="s">
        <v>188</v>
      </c>
      <c r="E305" s="5" t="s">
        <v>189</v>
      </c>
      <c r="F305" s="5" t="s">
        <v>190</v>
      </c>
      <c r="G305" s="5" t="s">
        <v>191</v>
      </c>
      <c r="H305" s="5" t="s">
        <v>131</v>
      </c>
      <c r="I305" s="5" t="s">
        <v>132</v>
      </c>
      <c r="J305" s="5" t="s">
        <v>133</v>
      </c>
      <c r="K305" s="5"/>
      <c r="L305" s="6" t="n">
        <v>0</v>
      </c>
      <c r="M305" s="6" t="n">
        <v>0</v>
      </c>
      <c r="N305" s="6" t="n">
        <v>2694</v>
      </c>
      <c r="O305" s="6" t="n">
        <v>0</v>
      </c>
      <c r="P305" s="6" t="n">
        <v>2226.45</v>
      </c>
      <c r="Q305" s="6" t="n">
        <v>467.55</v>
      </c>
      <c r="R305" s="6" t="n">
        <f aca="false">P305+Q305</f>
        <v>2694</v>
      </c>
      <c r="S305" s="6" t="n">
        <v>0</v>
      </c>
      <c r="T305" s="6" t="n">
        <v>2160</v>
      </c>
      <c r="U305" s="6" t="n">
        <v>66.45</v>
      </c>
      <c r="V305" s="7" t="n">
        <f aca="false">IF(P305-(O305/1.21)=0,0,U305/(P305-(O305/1.21)))</f>
        <v>0.0298457185205147</v>
      </c>
      <c r="W305" s="5" t="s">
        <v>162</v>
      </c>
      <c r="X305" s="5" t="s">
        <v>135</v>
      </c>
      <c r="Y305" s="5" t="s">
        <v>136</v>
      </c>
      <c r="Z305" s="11" t="n">
        <v>1</v>
      </c>
    </row>
    <row r="306" customFormat="false" ht="15" hidden="false" customHeight="false" outlineLevel="0" collapsed="false">
      <c r="A306" s="2" t="s">
        <v>504</v>
      </c>
      <c r="B306" s="8" t="n">
        <v>46200.46875</v>
      </c>
      <c r="C306" s="2" t="s">
        <v>148</v>
      </c>
      <c r="D306" s="2" t="s">
        <v>179</v>
      </c>
      <c r="E306" s="2" t="s">
        <v>180</v>
      </c>
      <c r="F306" s="2" t="s">
        <v>181</v>
      </c>
      <c r="G306" s="2" t="s">
        <v>182</v>
      </c>
      <c r="H306" s="2" t="s">
        <v>131</v>
      </c>
      <c r="I306" s="2" t="s">
        <v>132</v>
      </c>
      <c r="J306" s="2" t="s">
        <v>133</v>
      </c>
      <c r="K306" s="2"/>
      <c r="L306" s="3" t="n">
        <v>0</v>
      </c>
      <c r="M306" s="3" t="n">
        <v>4.5</v>
      </c>
      <c r="N306" s="3" t="n">
        <v>85.4</v>
      </c>
      <c r="O306" s="3" t="n">
        <v>4.95</v>
      </c>
      <c r="P306" s="3" t="n">
        <v>74.67</v>
      </c>
      <c r="Q306" s="3" t="n">
        <v>15.68</v>
      </c>
      <c r="R306" s="3" t="n">
        <f aca="false">P306+Q306</f>
        <v>90.35</v>
      </c>
      <c r="S306" s="3" t="n">
        <v>0</v>
      </c>
      <c r="T306" s="3" t="n">
        <v>48</v>
      </c>
      <c r="U306" s="3" t="n">
        <v>22.58</v>
      </c>
      <c r="V306" s="4" t="n">
        <f aca="false">IF(P306-(O306/1.21)=0,0,U306/(P306-(O306/1.21)))</f>
        <v>0.319924778134137</v>
      </c>
      <c r="W306" s="2" t="s">
        <v>162</v>
      </c>
      <c r="X306" s="2" t="s">
        <v>170</v>
      </c>
      <c r="Y306" s="2" t="s">
        <v>177</v>
      </c>
      <c r="Z306" s="9" t="n">
        <v>1</v>
      </c>
    </row>
    <row r="307" customFormat="false" ht="15" hidden="false" customHeight="false" outlineLevel="0" collapsed="false">
      <c r="A307" s="5" t="s">
        <v>505</v>
      </c>
      <c r="B307" s="10" t="n">
        <v>46200.6145833333</v>
      </c>
      <c r="C307" s="5" t="s">
        <v>148</v>
      </c>
      <c r="D307" s="5" t="s">
        <v>139</v>
      </c>
      <c r="E307" s="5" t="s">
        <v>140</v>
      </c>
      <c r="F307" s="5" t="s">
        <v>141</v>
      </c>
      <c r="G307" s="5" t="s">
        <v>142</v>
      </c>
      <c r="H307" s="5" t="s">
        <v>143</v>
      </c>
      <c r="I307" s="5" t="s">
        <v>132</v>
      </c>
      <c r="J307" s="5" t="s">
        <v>133</v>
      </c>
      <c r="K307" s="5" t="s">
        <v>144</v>
      </c>
      <c r="L307" s="6" t="n">
        <v>232.08</v>
      </c>
      <c r="M307" s="6" t="n">
        <v>89.8</v>
      </c>
      <c r="N307" s="6" t="n">
        <v>1160.4</v>
      </c>
      <c r="O307" s="6" t="n">
        <v>0</v>
      </c>
      <c r="P307" s="6" t="n">
        <v>767.47</v>
      </c>
      <c r="Q307" s="6" t="n">
        <v>160.85</v>
      </c>
      <c r="R307" s="6" t="n">
        <f aca="false">P307+Q307</f>
        <v>928.32</v>
      </c>
      <c r="S307" s="6" t="n">
        <v>0</v>
      </c>
      <c r="T307" s="6" t="n">
        <v>862.5</v>
      </c>
      <c r="U307" s="6" t="n">
        <v>-95.03</v>
      </c>
      <c r="V307" s="7" t="n">
        <f aca="false">IF(P307-(O307/1.21)=0,0,U307/(P307-(O307/1.21)))</f>
        <v>-0.12382242954122</v>
      </c>
      <c r="W307" s="5" t="s">
        <v>134</v>
      </c>
      <c r="X307" s="5" t="s">
        <v>135</v>
      </c>
      <c r="Y307" s="5" t="s">
        <v>154</v>
      </c>
      <c r="Z307" s="11" t="n">
        <v>4</v>
      </c>
    </row>
    <row r="308" customFormat="false" ht="15" hidden="false" customHeight="false" outlineLevel="0" collapsed="false">
      <c r="A308" s="2" t="s">
        <v>506</v>
      </c>
      <c r="B308" s="8" t="n">
        <v>46201.4479166667</v>
      </c>
      <c r="C308" s="2" t="s">
        <v>148</v>
      </c>
      <c r="D308" s="2" t="s">
        <v>149</v>
      </c>
      <c r="E308" s="2" t="s">
        <v>150</v>
      </c>
      <c r="F308" s="2" t="s">
        <v>151</v>
      </c>
      <c r="G308" s="2" t="s">
        <v>152</v>
      </c>
      <c r="H308" s="2" t="s">
        <v>131</v>
      </c>
      <c r="I308" s="2" t="s">
        <v>132</v>
      </c>
      <c r="J308" s="2" t="s">
        <v>133</v>
      </c>
      <c r="K308" s="2"/>
      <c r="L308" s="3" t="n">
        <v>0</v>
      </c>
      <c r="M308" s="3" t="n">
        <v>0</v>
      </c>
      <c r="N308" s="3" t="n">
        <v>79.8</v>
      </c>
      <c r="O308" s="3" t="n">
        <v>0</v>
      </c>
      <c r="P308" s="3" t="n">
        <v>65.95</v>
      </c>
      <c r="Q308" s="3" t="n">
        <v>13.85</v>
      </c>
      <c r="R308" s="3" t="n">
        <f aca="false">P308+Q308</f>
        <v>79.8</v>
      </c>
      <c r="S308" s="3" t="n">
        <v>0</v>
      </c>
      <c r="T308" s="3" t="n">
        <v>32</v>
      </c>
      <c r="U308" s="3" t="n">
        <v>33.95</v>
      </c>
      <c r="V308" s="4" t="n">
        <f aca="false">IF(P308-(O308/1.21)=0,0,U308/(P308-(O308/1.21)))</f>
        <v>0.514783927217589</v>
      </c>
      <c r="W308" s="2" t="s">
        <v>145</v>
      </c>
      <c r="X308" s="2" t="s">
        <v>135</v>
      </c>
      <c r="Y308" s="2" t="s">
        <v>177</v>
      </c>
      <c r="Z308" s="9" t="n">
        <v>1</v>
      </c>
    </row>
    <row r="309" customFormat="false" ht="15" hidden="false" customHeight="false" outlineLevel="0" collapsed="false">
      <c r="A309" s="5" t="s">
        <v>507</v>
      </c>
      <c r="B309" s="10" t="n">
        <v>46202.625</v>
      </c>
      <c r="C309" s="5" t="s">
        <v>138</v>
      </c>
      <c r="D309" s="5" t="s">
        <v>139</v>
      </c>
      <c r="E309" s="5" t="s">
        <v>140</v>
      </c>
      <c r="F309" s="5" t="s">
        <v>141</v>
      </c>
      <c r="G309" s="5" t="s">
        <v>142</v>
      </c>
      <c r="H309" s="5" t="s">
        <v>143</v>
      </c>
      <c r="I309" s="5" t="s">
        <v>132</v>
      </c>
      <c r="J309" s="5" t="s">
        <v>133</v>
      </c>
      <c r="K309" s="5"/>
      <c r="L309" s="6" t="n">
        <v>0</v>
      </c>
      <c r="M309" s="6" t="n">
        <v>0</v>
      </c>
      <c r="N309" s="6" t="n">
        <v>139.6</v>
      </c>
      <c r="O309" s="6" t="n">
        <v>9.95</v>
      </c>
      <c r="P309" s="6" t="n">
        <v>123.59</v>
      </c>
      <c r="Q309" s="6" t="n">
        <v>25.96</v>
      </c>
      <c r="R309" s="6" t="n">
        <f aca="false">P309+Q309</f>
        <v>149.55</v>
      </c>
      <c r="S309" s="6" t="n">
        <v>0</v>
      </c>
      <c r="T309" s="6" t="n">
        <v>56</v>
      </c>
      <c r="U309" s="6" t="n">
        <v>59.37</v>
      </c>
      <c r="V309" s="7" t="n">
        <f aca="false">IF(P309-(O309/1.21)=0,0,U309/(P309-(O309/1.21)))</f>
        <v>0.514619191812823</v>
      </c>
      <c r="W309" s="5" t="s">
        <v>145</v>
      </c>
      <c r="X309" s="5" t="s">
        <v>146</v>
      </c>
      <c r="Y309" s="5" t="s">
        <v>154</v>
      </c>
      <c r="Z309" s="11" t="n">
        <v>1</v>
      </c>
    </row>
    <row r="310" customFormat="false" ht="15" hidden="false" customHeight="false" outlineLevel="0" collapsed="false">
      <c r="A310" s="2" t="s">
        <v>508</v>
      </c>
      <c r="B310" s="8" t="n">
        <v>46202.7083333333</v>
      </c>
      <c r="C310" s="2" t="s">
        <v>126</v>
      </c>
      <c r="D310" s="2" t="s">
        <v>179</v>
      </c>
      <c r="E310" s="2" t="s">
        <v>180</v>
      </c>
      <c r="F310" s="2" t="s">
        <v>181</v>
      </c>
      <c r="G310" s="2" t="s">
        <v>182</v>
      </c>
      <c r="H310" s="2" t="s">
        <v>131</v>
      </c>
      <c r="I310" s="2" t="s">
        <v>132</v>
      </c>
      <c r="J310" s="2" t="s">
        <v>133</v>
      </c>
      <c r="K310" s="2"/>
      <c r="L310" s="3" t="n">
        <v>0</v>
      </c>
      <c r="M310" s="3" t="n">
        <v>0</v>
      </c>
      <c r="N310" s="3" t="n">
        <v>19.9</v>
      </c>
      <c r="O310" s="3" t="n">
        <v>4.95</v>
      </c>
      <c r="P310" s="3" t="n">
        <v>20.54</v>
      </c>
      <c r="Q310" s="3" t="n">
        <v>4.31</v>
      </c>
      <c r="R310" s="3" t="n">
        <f aca="false">P310+Q310</f>
        <v>24.85</v>
      </c>
      <c r="S310" s="3" t="n">
        <v>0</v>
      </c>
      <c r="T310" s="3" t="n">
        <v>7.9</v>
      </c>
      <c r="U310" s="3" t="n">
        <v>8.55</v>
      </c>
      <c r="V310" s="4" t="n">
        <f aca="false">IF(P310-(O310/1.21)=0,0,U310/(P310-(O310/1.21)))</f>
        <v>0.51978556427545</v>
      </c>
      <c r="W310" s="2" t="s">
        <v>134</v>
      </c>
      <c r="X310" s="2" t="s">
        <v>170</v>
      </c>
      <c r="Y310" s="2" t="s">
        <v>156</v>
      </c>
      <c r="Z310" s="9" t="n">
        <v>1</v>
      </c>
    </row>
    <row r="311" customFormat="false" ht="15" hidden="false" customHeight="false" outlineLevel="0" collapsed="false">
      <c r="A311" s="5" t="s">
        <v>509</v>
      </c>
      <c r="B311" s="10" t="n">
        <v>46203.7395833333</v>
      </c>
      <c r="C311" s="5" t="s">
        <v>172</v>
      </c>
      <c r="D311" s="5" t="s">
        <v>127</v>
      </c>
      <c r="E311" s="5" t="s">
        <v>128</v>
      </c>
      <c r="F311" s="5" t="s">
        <v>129</v>
      </c>
      <c r="G311" s="5" t="s">
        <v>130</v>
      </c>
      <c r="H311" s="5" t="s">
        <v>131</v>
      </c>
      <c r="I311" s="5" t="s">
        <v>132</v>
      </c>
      <c r="J311" s="5" t="s">
        <v>133</v>
      </c>
      <c r="K311" s="5"/>
      <c r="L311" s="6" t="n">
        <v>0</v>
      </c>
      <c r="M311" s="6" t="n">
        <v>0.37</v>
      </c>
      <c r="N311" s="6" t="n">
        <v>32</v>
      </c>
      <c r="O311" s="6" t="n">
        <v>4.95</v>
      </c>
      <c r="P311" s="6" t="n">
        <v>31.12</v>
      </c>
      <c r="Q311" s="6" t="n">
        <v>5.83</v>
      </c>
      <c r="R311" s="6" t="n">
        <f aca="false">P311+Q311</f>
        <v>36.95</v>
      </c>
      <c r="S311" s="6" t="n">
        <v>0</v>
      </c>
      <c r="T311" s="6" t="n">
        <v>14.3</v>
      </c>
      <c r="U311" s="6" t="n">
        <v>12.73</v>
      </c>
      <c r="V311" s="7" t="n">
        <f aca="false">IF(P311-(O311/1.21)=0,0,U311/(P311-(O311/1.21)))</f>
        <v>0.470974034710077</v>
      </c>
      <c r="W311" s="5" t="s">
        <v>145</v>
      </c>
      <c r="X311" s="5" t="s">
        <v>170</v>
      </c>
      <c r="Y311" s="5" t="s">
        <v>177</v>
      </c>
      <c r="Z311" s="11" t="n">
        <v>2</v>
      </c>
    </row>
  </sheetData>
  <autoFilter ref="A1:Z3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13"/>
    <col collapsed="false" customWidth="true" hidden="false" outlineLevel="0" max="23" min="23" style="0" width="9"/>
    <col collapsed="false" customWidth="true" hidden="false" outlineLevel="0" max="24" min="24" style="0" width="15"/>
  </cols>
  <sheetData>
    <row r="1" customFormat="false" ht="30" hidden="false" customHeight="true" outlineLevel="0" collapsed="false">
      <c r="A1" s="1" t="s">
        <v>510</v>
      </c>
      <c r="B1" s="1" t="s">
        <v>100</v>
      </c>
      <c r="C1" s="1" t="s">
        <v>101</v>
      </c>
      <c r="D1" s="1" t="s">
        <v>103</v>
      </c>
      <c r="E1" s="1" t="s">
        <v>0</v>
      </c>
      <c r="F1" s="1" t="s">
        <v>511</v>
      </c>
      <c r="G1" s="1" t="s">
        <v>2</v>
      </c>
      <c r="H1" s="1" t="s">
        <v>3</v>
      </c>
      <c r="I1" s="1" t="s">
        <v>512</v>
      </c>
      <c r="J1" s="1" t="s">
        <v>513</v>
      </c>
      <c r="K1" s="1" t="s">
        <v>514</v>
      </c>
      <c r="L1" s="1" t="s">
        <v>515</v>
      </c>
      <c r="M1" s="1" t="s">
        <v>516</v>
      </c>
      <c r="N1" s="1" t="s">
        <v>517</v>
      </c>
      <c r="O1" s="1" t="s">
        <v>518</v>
      </c>
      <c r="P1" s="1" t="s">
        <v>5</v>
      </c>
      <c r="Q1" s="1" t="s">
        <v>519</v>
      </c>
      <c r="R1" s="1" t="s">
        <v>116</v>
      </c>
      <c r="S1" s="1" t="s">
        <v>520</v>
      </c>
      <c r="T1" s="1" t="s">
        <v>521</v>
      </c>
      <c r="U1" s="1" t="s">
        <v>9</v>
      </c>
      <c r="V1" s="1" t="s">
        <v>102</v>
      </c>
      <c r="W1" s="1" t="s">
        <v>123</v>
      </c>
      <c r="X1" s="1" t="s">
        <v>108</v>
      </c>
    </row>
    <row r="2" customFormat="false" ht="15" hidden="false" customHeight="false" outlineLevel="0" collapsed="false">
      <c r="A2" s="2" t="n">
        <v>1</v>
      </c>
      <c r="B2" s="2" t="s">
        <v>125</v>
      </c>
      <c r="C2" s="12" t="n">
        <v>45839</v>
      </c>
      <c r="D2" s="2" t="s">
        <v>127</v>
      </c>
      <c r="E2" s="2" t="s">
        <v>92</v>
      </c>
      <c r="F2" s="2" t="s">
        <v>93</v>
      </c>
      <c r="G2" s="2" t="s">
        <v>94</v>
      </c>
      <c r="H2" s="2" t="s">
        <v>95</v>
      </c>
      <c r="I2" s="9" t="n">
        <v>12</v>
      </c>
      <c r="J2" s="3" t="n">
        <v>4.49</v>
      </c>
      <c r="K2" s="3" t="n">
        <v>53.88</v>
      </c>
      <c r="L2" s="4" t="n">
        <v>0.05</v>
      </c>
      <c r="M2" s="3" t="n">
        <v>2.69</v>
      </c>
      <c r="N2" s="3" t="n">
        <v>0</v>
      </c>
      <c r="O2" s="3" t="n">
        <f aca="false">K2-M2-N2</f>
        <v>51.19</v>
      </c>
      <c r="P2" s="4" t="n">
        <v>0.1</v>
      </c>
      <c r="Q2" s="3" t="n">
        <v>46.54</v>
      </c>
      <c r="R2" s="3" t="n">
        <f aca="false">O2-Q2</f>
        <v>4.65000000000001</v>
      </c>
      <c r="S2" s="3" t="n">
        <v>25.2</v>
      </c>
      <c r="T2" s="3" t="n">
        <f aca="false">Q2-S2</f>
        <v>21.34</v>
      </c>
      <c r="U2" s="4" t="n">
        <f aca="false">IF(Q2=0,0,T2/Q2)</f>
        <v>0.458530296519123</v>
      </c>
      <c r="V2" s="2" t="s">
        <v>126</v>
      </c>
      <c r="W2" s="2" t="s">
        <v>136</v>
      </c>
      <c r="X2" s="2" t="s">
        <v>132</v>
      </c>
    </row>
    <row r="3" customFormat="false" ht="15" hidden="false" customHeight="false" outlineLevel="0" collapsed="false">
      <c r="A3" s="5" t="n">
        <v>2</v>
      </c>
      <c r="B3" s="5" t="s">
        <v>125</v>
      </c>
      <c r="C3" s="13" t="n">
        <v>45839</v>
      </c>
      <c r="D3" s="5" t="s">
        <v>127</v>
      </c>
      <c r="E3" s="5" t="s">
        <v>77</v>
      </c>
      <c r="F3" s="5" t="s">
        <v>78</v>
      </c>
      <c r="G3" s="5" t="s">
        <v>79</v>
      </c>
      <c r="H3" s="5" t="s">
        <v>80</v>
      </c>
      <c r="I3" s="11" t="n">
        <v>1</v>
      </c>
      <c r="J3" s="6" t="n">
        <v>59.9</v>
      </c>
      <c r="K3" s="6" t="n">
        <v>59.9</v>
      </c>
      <c r="L3" s="7" t="n">
        <v>0</v>
      </c>
      <c r="M3" s="6" t="n">
        <v>0</v>
      </c>
      <c r="N3" s="6" t="n">
        <v>0</v>
      </c>
      <c r="O3" s="6" t="n">
        <f aca="false">K3-M3-N3</f>
        <v>59.9</v>
      </c>
      <c r="P3" s="7" t="n">
        <v>0.21</v>
      </c>
      <c r="Q3" s="6" t="n">
        <v>49.5</v>
      </c>
      <c r="R3" s="6" t="n">
        <f aca="false">O3-Q3</f>
        <v>10.4</v>
      </c>
      <c r="S3" s="6" t="n">
        <v>24</v>
      </c>
      <c r="T3" s="6" t="n">
        <f aca="false">Q3-S3</f>
        <v>25.5</v>
      </c>
      <c r="U3" s="7" t="n">
        <f aca="false">IF(Q3=0,0,T3/Q3)</f>
        <v>0.515151515151515</v>
      </c>
      <c r="V3" s="5" t="s">
        <v>126</v>
      </c>
      <c r="W3" s="5" t="s">
        <v>136</v>
      </c>
      <c r="X3" s="5" t="s">
        <v>132</v>
      </c>
    </row>
    <row r="4" customFormat="false" ht="15" hidden="false" customHeight="false" outlineLevel="0" collapsed="false">
      <c r="A4" s="2" t="n">
        <v>3</v>
      </c>
      <c r="B4" s="2" t="s">
        <v>125</v>
      </c>
      <c r="C4" s="12" t="n">
        <v>45839</v>
      </c>
      <c r="D4" s="2" t="s">
        <v>127</v>
      </c>
      <c r="E4" s="2" t="s">
        <v>67</v>
      </c>
      <c r="F4" s="2" t="s">
        <v>68</v>
      </c>
      <c r="G4" s="2" t="s">
        <v>65</v>
      </c>
      <c r="H4" s="2" t="s">
        <v>66</v>
      </c>
      <c r="I4" s="9" t="n">
        <v>1</v>
      </c>
      <c r="J4" s="3" t="n">
        <v>64.9</v>
      </c>
      <c r="K4" s="3" t="n">
        <v>64.9</v>
      </c>
      <c r="L4" s="4" t="n">
        <v>0</v>
      </c>
      <c r="M4" s="3" t="n">
        <v>0</v>
      </c>
      <c r="N4" s="3" t="n">
        <v>0</v>
      </c>
      <c r="O4" s="3" t="n">
        <f aca="false">K4-M4-N4</f>
        <v>64.9</v>
      </c>
      <c r="P4" s="4" t="n">
        <v>0.21</v>
      </c>
      <c r="Q4" s="3" t="n">
        <v>53.64</v>
      </c>
      <c r="R4" s="3" t="n">
        <f aca="false">O4-Q4</f>
        <v>11.26</v>
      </c>
      <c r="S4" s="3" t="n">
        <v>28</v>
      </c>
      <c r="T4" s="3" t="n">
        <f aca="false">Q4-S4</f>
        <v>25.64</v>
      </c>
      <c r="U4" s="4" t="n">
        <f aca="false">IF(Q4=0,0,T4/Q4)</f>
        <v>0.47800149142431</v>
      </c>
      <c r="V4" s="2" t="s">
        <v>126</v>
      </c>
      <c r="W4" s="2" t="s">
        <v>136</v>
      </c>
      <c r="X4" s="2" t="s">
        <v>132</v>
      </c>
    </row>
    <row r="5" customFormat="false" ht="15" hidden="false" customHeight="false" outlineLevel="0" collapsed="false">
      <c r="A5" s="5" t="n">
        <v>4</v>
      </c>
      <c r="B5" s="5" t="s">
        <v>137</v>
      </c>
      <c r="C5" s="13" t="n">
        <v>45841</v>
      </c>
      <c r="D5" s="5" t="s">
        <v>139</v>
      </c>
      <c r="E5" s="5" t="s">
        <v>36</v>
      </c>
      <c r="F5" s="5" t="s">
        <v>37</v>
      </c>
      <c r="G5" s="5" t="s">
        <v>38</v>
      </c>
      <c r="H5" s="5" t="s">
        <v>39</v>
      </c>
      <c r="I5" s="11" t="n">
        <v>1</v>
      </c>
      <c r="J5" s="6" t="n">
        <v>399</v>
      </c>
      <c r="K5" s="6" t="n">
        <v>399</v>
      </c>
      <c r="L5" s="7" t="n">
        <v>0</v>
      </c>
      <c r="M5" s="6" t="n">
        <v>0</v>
      </c>
      <c r="N5" s="6" t="n">
        <v>79.8</v>
      </c>
      <c r="O5" s="6" t="n">
        <f aca="false">K5-M5-N5</f>
        <v>319.2</v>
      </c>
      <c r="P5" s="7" t="n">
        <v>0.21</v>
      </c>
      <c r="Q5" s="6" t="n">
        <v>263.8</v>
      </c>
      <c r="R5" s="6" t="n">
        <f aca="false">O5-Q5</f>
        <v>55.4</v>
      </c>
      <c r="S5" s="6" t="n">
        <v>265</v>
      </c>
      <c r="T5" s="6" t="n">
        <f aca="false">Q5-S5</f>
        <v>-1.19999999999999</v>
      </c>
      <c r="U5" s="7" t="n">
        <f aca="false">IF(Q5=0,0,T5/Q5)</f>
        <v>-0.00454890068233506</v>
      </c>
      <c r="V5" s="5" t="s">
        <v>138</v>
      </c>
      <c r="W5" s="5" t="s">
        <v>136</v>
      </c>
      <c r="X5" s="5" t="s">
        <v>132</v>
      </c>
    </row>
    <row r="6" customFormat="false" ht="15" hidden="false" customHeight="false" outlineLevel="0" collapsed="false">
      <c r="A6" s="2" t="n">
        <v>5</v>
      </c>
      <c r="B6" s="2" t="s">
        <v>137</v>
      </c>
      <c r="C6" s="12" t="n">
        <v>45841</v>
      </c>
      <c r="D6" s="2" t="s">
        <v>139</v>
      </c>
      <c r="E6" s="2" t="s">
        <v>67</v>
      </c>
      <c r="F6" s="2" t="s">
        <v>68</v>
      </c>
      <c r="G6" s="2" t="s">
        <v>65</v>
      </c>
      <c r="H6" s="2" t="s">
        <v>66</v>
      </c>
      <c r="I6" s="9" t="n">
        <v>1</v>
      </c>
      <c r="J6" s="3" t="n">
        <v>64.9</v>
      </c>
      <c r="K6" s="3" t="n">
        <v>64.9</v>
      </c>
      <c r="L6" s="4" t="n">
        <v>0.15</v>
      </c>
      <c r="M6" s="3" t="n">
        <v>9.74</v>
      </c>
      <c r="N6" s="3" t="n">
        <v>11.03</v>
      </c>
      <c r="O6" s="3" t="n">
        <f aca="false">K6-M6-N6</f>
        <v>44.13</v>
      </c>
      <c r="P6" s="4" t="n">
        <v>0.21</v>
      </c>
      <c r="Q6" s="3" t="n">
        <v>36.47</v>
      </c>
      <c r="R6" s="3" t="n">
        <f aca="false">O6-Q6</f>
        <v>7.66</v>
      </c>
      <c r="S6" s="3" t="n">
        <v>28</v>
      </c>
      <c r="T6" s="3" t="n">
        <f aca="false">Q6-S6</f>
        <v>8.47</v>
      </c>
      <c r="U6" s="4" t="n">
        <f aca="false">IF(Q6=0,0,T6/Q6)</f>
        <v>0.232245681381958</v>
      </c>
      <c r="V6" s="2" t="s">
        <v>138</v>
      </c>
      <c r="W6" s="2" t="s">
        <v>136</v>
      </c>
      <c r="X6" s="2" t="s">
        <v>132</v>
      </c>
    </row>
    <row r="7" customFormat="false" ht="15" hidden="false" customHeight="false" outlineLevel="0" collapsed="false">
      <c r="A7" s="5" t="n">
        <v>6</v>
      </c>
      <c r="B7" s="5" t="s">
        <v>147</v>
      </c>
      <c r="C7" s="13" t="n">
        <v>45842</v>
      </c>
      <c r="D7" s="5" t="s">
        <v>149</v>
      </c>
      <c r="E7" s="5" t="s">
        <v>96</v>
      </c>
      <c r="F7" s="5" t="s">
        <v>97</v>
      </c>
      <c r="G7" s="5" t="s">
        <v>94</v>
      </c>
      <c r="H7" s="5" t="s">
        <v>95</v>
      </c>
      <c r="I7" s="11" t="n">
        <v>2</v>
      </c>
      <c r="J7" s="6" t="n">
        <v>7.99</v>
      </c>
      <c r="K7" s="6" t="n">
        <v>15.98</v>
      </c>
      <c r="L7" s="7" t="n">
        <v>0</v>
      </c>
      <c r="M7" s="6" t="n">
        <v>0</v>
      </c>
      <c r="N7" s="6" t="n">
        <v>0</v>
      </c>
      <c r="O7" s="6" t="n">
        <f aca="false">K7-M7-N7</f>
        <v>15.98</v>
      </c>
      <c r="P7" s="7" t="n">
        <v>0.1</v>
      </c>
      <c r="Q7" s="6" t="n">
        <v>14.53</v>
      </c>
      <c r="R7" s="6" t="n">
        <f aca="false">O7-Q7</f>
        <v>1.45</v>
      </c>
      <c r="S7" s="6" t="n">
        <v>6.8</v>
      </c>
      <c r="T7" s="6" t="n">
        <f aca="false">Q7-S7</f>
        <v>7.73</v>
      </c>
      <c r="U7" s="7" t="n">
        <f aca="false">IF(Q7=0,0,T7/Q7)</f>
        <v>0.532002752924983</v>
      </c>
      <c r="V7" s="5" t="s">
        <v>148</v>
      </c>
      <c r="W7" s="5" t="s">
        <v>154</v>
      </c>
      <c r="X7" s="5" t="s">
        <v>132</v>
      </c>
    </row>
    <row r="8" customFormat="false" ht="15" hidden="false" customHeight="false" outlineLevel="0" collapsed="false">
      <c r="A8" s="2" t="n">
        <v>7</v>
      </c>
      <c r="B8" s="2" t="s">
        <v>155</v>
      </c>
      <c r="C8" s="12" t="n">
        <v>45842</v>
      </c>
      <c r="D8" s="2" t="s">
        <v>139</v>
      </c>
      <c r="E8" s="2" t="s">
        <v>31</v>
      </c>
      <c r="F8" s="2" t="s">
        <v>32</v>
      </c>
      <c r="G8" s="2" t="s">
        <v>33</v>
      </c>
      <c r="H8" s="2" t="s">
        <v>23</v>
      </c>
      <c r="I8" s="9" t="n">
        <v>1</v>
      </c>
      <c r="J8" s="3" t="n">
        <v>89.9</v>
      </c>
      <c r="K8" s="3" t="n">
        <v>89.9</v>
      </c>
      <c r="L8" s="4" t="n">
        <v>0.15</v>
      </c>
      <c r="M8" s="3" t="n">
        <v>13.48</v>
      </c>
      <c r="N8" s="3" t="n">
        <v>0</v>
      </c>
      <c r="O8" s="3" t="n">
        <f aca="false">K8-M8-N8</f>
        <v>76.42</v>
      </c>
      <c r="P8" s="4" t="n">
        <v>0.21</v>
      </c>
      <c r="Q8" s="3" t="n">
        <v>63.16</v>
      </c>
      <c r="R8" s="3" t="n">
        <f aca="false">O8-Q8</f>
        <v>13.26</v>
      </c>
      <c r="S8" s="3" t="n">
        <v>48</v>
      </c>
      <c r="T8" s="3" t="n">
        <f aca="false">Q8-S8</f>
        <v>15.16</v>
      </c>
      <c r="U8" s="4" t="n">
        <f aca="false">IF(Q8=0,0,T8/Q8)</f>
        <v>0.240025332488917</v>
      </c>
      <c r="V8" s="2" t="s">
        <v>126</v>
      </c>
      <c r="W8" s="2" t="s">
        <v>156</v>
      </c>
      <c r="X8" s="2" t="s">
        <v>132</v>
      </c>
    </row>
    <row r="9" customFormat="false" ht="15" hidden="false" customHeight="false" outlineLevel="0" collapsed="false">
      <c r="A9" s="5" t="n">
        <v>8</v>
      </c>
      <c r="B9" s="5" t="s">
        <v>155</v>
      </c>
      <c r="C9" s="13" t="n">
        <v>45842</v>
      </c>
      <c r="D9" s="5" t="s">
        <v>139</v>
      </c>
      <c r="E9" s="5" t="s">
        <v>96</v>
      </c>
      <c r="F9" s="5" t="s">
        <v>97</v>
      </c>
      <c r="G9" s="5" t="s">
        <v>94</v>
      </c>
      <c r="H9" s="5" t="s">
        <v>95</v>
      </c>
      <c r="I9" s="11" t="n">
        <v>1</v>
      </c>
      <c r="J9" s="6" t="n">
        <v>7.99</v>
      </c>
      <c r="K9" s="6" t="n">
        <v>7.99</v>
      </c>
      <c r="L9" s="7" t="n">
        <v>0</v>
      </c>
      <c r="M9" s="6" t="n">
        <v>0</v>
      </c>
      <c r="N9" s="6" t="n">
        <v>0</v>
      </c>
      <c r="O9" s="6" t="n">
        <f aca="false">K9-M9-N9</f>
        <v>7.99</v>
      </c>
      <c r="P9" s="7" t="n">
        <v>0.1</v>
      </c>
      <c r="Q9" s="6" t="n">
        <v>7.26</v>
      </c>
      <c r="R9" s="6" t="n">
        <f aca="false">O9-Q9</f>
        <v>0.73</v>
      </c>
      <c r="S9" s="6" t="n">
        <v>3.4</v>
      </c>
      <c r="T9" s="6" t="n">
        <f aca="false">Q9-S9</f>
        <v>3.86</v>
      </c>
      <c r="U9" s="7" t="n">
        <f aca="false">IF(Q9=0,0,T9/Q9)</f>
        <v>0.53168044077135</v>
      </c>
      <c r="V9" s="5" t="s">
        <v>126</v>
      </c>
      <c r="W9" s="5" t="s">
        <v>156</v>
      </c>
      <c r="X9" s="5" t="s">
        <v>132</v>
      </c>
    </row>
    <row r="10" customFormat="false" ht="15" hidden="false" customHeight="false" outlineLevel="0" collapsed="false">
      <c r="A10" s="2" t="n">
        <v>9</v>
      </c>
      <c r="B10" s="2" t="s">
        <v>157</v>
      </c>
      <c r="C10" s="12" t="n">
        <v>45846</v>
      </c>
      <c r="D10" s="2" t="s">
        <v>158</v>
      </c>
      <c r="E10" s="2" t="s">
        <v>31</v>
      </c>
      <c r="F10" s="2" t="s">
        <v>32</v>
      </c>
      <c r="G10" s="2" t="s">
        <v>33</v>
      </c>
      <c r="H10" s="2" t="s">
        <v>23</v>
      </c>
      <c r="I10" s="9" t="n">
        <v>1</v>
      </c>
      <c r="J10" s="3" t="n">
        <v>89.9</v>
      </c>
      <c r="K10" s="3" t="n">
        <v>89.9</v>
      </c>
      <c r="L10" s="4" t="n">
        <v>0.05</v>
      </c>
      <c r="M10" s="3" t="n">
        <v>4.5</v>
      </c>
      <c r="N10" s="3" t="n">
        <v>0</v>
      </c>
      <c r="O10" s="3" t="n">
        <f aca="false">K10-M10-N10</f>
        <v>85.4</v>
      </c>
      <c r="P10" s="4" t="n">
        <v>0.21</v>
      </c>
      <c r="Q10" s="3" t="n">
        <v>70.58</v>
      </c>
      <c r="R10" s="3" t="n">
        <f aca="false">O10-Q10</f>
        <v>14.82</v>
      </c>
      <c r="S10" s="3" t="n">
        <v>48</v>
      </c>
      <c r="T10" s="3" t="n">
        <f aca="false">Q10-S10</f>
        <v>22.58</v>
      </c>
      <c r="U10" s="4" t="n">
        <f aca="false">IF(Q10=0,0,T10/Q10)</f>
        <v>0.319920657410031</v>
      </c>
      <c r="V10" s="2" t="s">
        <v>126</v>
      </c>
      <c r="W10" s="2" t="s">
        <v>156</v>
      </c>
      <c r="X10" s="2" t="s">
        <v>132</v>
      </c>
    </row>
    <row r="11" customFormat="false" ht="15" hidden="false" customHeight="false" outlineLevel="0" collapsed="false">
      <c r="A11" s="5" t="n">
        <v>10</v>
      </c>
      <c r="B11" s="5" t="s">
        <v>163</v>
      </c>
      <c r="C11" s="13" t="n">
        <v>45848</v>
      </c>
      <c r="D11" s="5" t="s">
        <v>164</v>
      </c>
      <c r="E11" s="5" t="s">
        <v>11</v>
      </c>
      <c r="F11" s="5" t="s">
        <v>12</v>
      </c>
      <c r="G11" s="5" t="s">
        <v>13</v>
      </c>
      <c r="H11" s="5" t="s">
        <v>14</v>
      </c>
      <c r="I11" s="11" t="n">
        <v>2</v>
      </c>
      <c r="J11" s="6" t="n">
        <v>89.9</v>
      </c>
      <c r="K11" s="6" t="n">
        <v>179.8</v>
      </c>
      <c r="L11" s="7" t="n">
        <v>0</v>
      </c>
      <c r="M11" s="6" t="n">
        <v>0</v>
      </c>
      <c r="N11" s="6" t="n">
        <v>26.97</v>
      </c>
      <c r="O11" s="6" t="n">
        <f aca="false">K11-M11-N11</f>
        <v>152.83</v>
      </c>
      <c r="P11" s="7" t="n">
        <v>0.21</v>
      </c>
      <c r="Q11" s="6" t="n">
        <v>126.31</v>
      </c>
      <c r="R11" s="6" t="n">
        <f aca="false">O11-Q11</f>
        <v>26.52</v>
      </c>
      <c r="S11" s="6" t="n">
        <v>77</v>
      </c>
      <c r="T11" s="6" t="n">
        <f aca="false">Q11-S11</f>
        <v>49.31</v>
      </c>
      <c r="U11" s="7" t="n">
        <f aca="false">IF(Q11=0,0,T11/Q11)</f>
        <v>0.390388726149949</v>
      </c>
      <c r="V11" s="5" t="s">
        <v>126</v>
      </c>
      <c r="W11" s="5" t="s">
        <v>136</v>
      </c>
      <c r="X11" s="5" t="s">
        <v>132</v>
      </c>
    </row>
    <row r="12" customFormat="false" ht="15" hidden="false" customHeight="false" outlineLevel="0" collapsed="false">
      <c r="A12" s="2" t="n">
        <v>11</v>
      </c>
      <c r="B12" s="2" t="s">
        <v>163</v>
      </c>
      <c r="C12" s="12" t="n">
        <v>45848</v>
      </c>
      <c r="D12" s="2" t="s">
        <v>164</v>
      </c>
      <c r="E12" s="2" t="s">
        <v>53</v>
      </c>
      <c r="F12" s="2" t="s">
        <v>54</v>
      </c>
      <c r="G12" s="2" t="s">
        <v>51</v>
      </c>
      <c r="H12" s="2" t="s">
        <v>52</v>
      </c>
      <c r="I12" s="9" t="n">
        <v>3</v>
      </c>
      <c r="J12" s="3" t="n">
        <v>59.9</v>
      </c>
      <c r="K12" s="3" t="n">
        <v>179.7</v>
      </c>
      <c r="L12" s="4" t="n">
        <v>0</v>
      </c>
      <c r="M12" s="3" t="n">
        <v>0</v>
      </c>
      <c r="N12" s="3" t="n">
        <v>26.95</v>
      </c>
      <c r="O12" s="3" t="n">
        <f aca="false">K12-M12-N12</f>
        <v>152.75</v>
      </c>
      <c r="P12" s="4" t="n">
        <v>0.21</v>
      </c>
      <c r="Q12" s="3" t="n">
        <v>126.24</v>
      </c>
      <c r="R12" s="3" t="n">
        <f aca="false">O12-Q12</f>
        <v>26.51</v>
      </c>
      <c r="S12" s="3" t="n">
        <v>78</v>
      </c>
      <c r="T12" s="3" t="n">
        <f aca="false">Q12-S12</f>
        <v>48.24</v>
      </c>
      <c r="U12" s="4" t="n">
        <f aca="false">IF(Q12=0,0,T12/Q12)</f>
        <v>0.38212927756654</v>
      </c>
      <c r="V12" s="2" t="s">
        <v>126</v>
      </c>
      <c r="W12" s="2" t="s">
        <v>136</v>
      </c>
      <c r="X12" s="2" t="s">
        <v>132</v>
      </c>
    </row>
    <row r="13" customFormat="false" ht="15" hidden="false" customHeight="false" outlineLevel="0" collapsed="false">
      <c r="A13" s="5" t="n">
        <v>12</v>
      </c>
      <c r="B13" s="5" t="s">
        <v>171</v>
      </c>
      <c r="C13" s="13" t="n">
        <v>45850</v>
      </c>
      <c r="D13" s="5" t="s">
        <v>173</v>
      </c>
      <c r="E13" s="5" t="s">
        <v>92</v>
      </c>
      <c r="F13" s="5" t="s">
        <v>93</v>
      </c>
      <c r="G13" s="5" t="s">
        <v>94</v>
      </c>
      <c r="H13" s="5" t="s">
        <v>95</v>
      </c>
      <c r="I13" s="11" t="n">
        <v>3</v>
      </c>
      <c r="J13" s="6" t="n">
        <v>4.49</v>
      </c>
      <c r="K13" s="6" t="n">
        <v>13.47</v>
      </c>
      <c r="L13" s="7" t="n">
        <v>0.15</v>
      </c>
      <c r="M13" s="6" t="n">
        <v>2.02</v>
      </c>
      <c r="N13" s="6" t="n">
        <v>2.29</v>
      </c>
      <c r="O13" s="6" t="n">
        <f aca="false">K13-M13-N13</f>
        <v>9.16</v>
      </c>
      <c r="P13" s="7" t="n">
        <v>0.1</v>
      </c>
      <c r="Q13" s="6" t="n">
        <v>8.33</v>
      </c>
      <c r="R13" s="6" t="n">
        <f aca="false">O13-Q13</f>
        <v>0.83</v>
      </c>
      <c r="S13" s="6" t="n">
        <v>6.3</v>
      </c>
      <c r="T13" s="6" t="n">
        <f aca="false">Q13-S13</f>
        <v>2.03</v>
      </c>
      <c r="U13" s="7" t="n">
        <f aca="false">IF(Q13=0,0,T13/Q13)</f>
        <v>0.243697478991597</v>
      </c>
      <c r="V13" s="5" t="s">
        <v>172</v>
      </c>
      <c r="W13" s="5" t="s">
        <v>177</v>
      </c>
      <c r="X13" s="5" t="s">
        <v>176</v>
      </c>
    </row>
    <row r="14" customFormat="false" ht="15" hidden="false" customHeight="false" outlineLevel="0" collapsed="false">
      <c r="A14" s="2" t="n">
        <v>13</v>
      </c>
      <c r="B14" s="2" t="s">
        <v>178</v>
      </c>
      <c r="C14" s="12" t="n">
        <v>45851</v>
      </c>
      <c r="D14" s="2" t="s">
        <v>179</v>
      </c>
      <c r="E14" s="2" t="s">
        <v>11</v>
      </c>
      <c r="F14" s="2" t="s">
        <v>12</v>
      </c>
      <c r="G14" s="2" t="s">
        <v>13</v>
      </c>
      <c r="H14" s="2" t="s">
        <v>14</v>
      </c>
      <c r="I14" s="9" t="n">
        <v>2</v>
      </c>
      <c r="J14" s="3" t="n">
        <v>89.9</v>
      </c>
      <c r="K14" s="3" t="n">
        <v>179.8</v>
      </c>
      <c r="L14" s="4" t="n">
        <v>0</v>
      </c>
      <c r="M14" s="3" t="n">
        <v>0</v>
      </c>
      <c r="N14" s="3" t="n">
        <v>0</v>
      </c>
      <c r="O14" s="3" t="n">
        <f aca="false">K14-M14-N14</f>
        <v>179.8</v>
      </c>
      <c r="P14" s="4" t="n">
        <v>0.21</v>
      </c>
      <c r="Q14" s="3" t="n">
        <v>148.6</v>
      </c>
      <c r="R14" s="3" t="n">
        <f aca="false">O14-Q14</f>
        <v>31.2</v>
      </c>
      <c r="S14" s="3" t="n">
        <v>77</v>
      </c>
      <c r="T14" s="3" t="n">
        <f aca="false">Q14-S14</f>
        <v>71.6</v>
      </c>
      <c r="U14" s="4" t="n">
        <f aca="false">IF(Q14=0,0,T14/Q14)</f>
        <v>0.481830417227456</v>
      </c>
      <c r="V14" s="2" t="s">
        <v>126</v>
      </c>
      <c r="W14" s="2" t="s">
        <v>156</v>
      </c>
      <c r="X14" s="2" t="s">
        <v>132</v>
      </c>
    </row>
    <row r="15" customFormat="false" ht="15" hidden="false" customHeight="false" outlineLevel="0" collapsed="false">
      <c r="A15" s="5" t="n">
        <v>14</v>
      </c>
      <c r="B15" s="5" t="s">
        <v>183</v>
      </c>
      <c r="C15" s="13" t="n">
        <v>45853</v>
      </c>
      <c r="D15" s="5" t="s">
        <v>158</v>
      </c>
      <c r="E15" s="5" t="s">
        <v>20</v>
      </c>
      <c r="F15" s="5" t="s">
        <v>21</v>
      </c>
      <c r="G15" s="5" t="s">
        <v>22</v>
      </c>
      <c r="H15" s="5" t="s">
        <v>23</v>
      </c>
      <c r="I15" s="11" t="n">
        <v>1</v>
      </c>
      <c r="J15" s="6" t="n">
        <v>799</v>
      </c>
      <c r="K15" s="6" t="n">
        <v>799</v>
      </c>
      <c r="L15" s="7" t="n">
        <v>0</v>
      </c>
      <c r="M15" s="6" t="n">
        <v>0</v>
      </c>
      <c r="N15" s="6" t="n">
        <v>0</v>
      </c>
      <c r="O15" s="6" t="n">
        <f aca="false">K15-M15-N15</f>
        <v>799</v>
      </c>
      <c r="P15" s="7" t="n">
        <v>0.21</v>
      </c>
      <c r="Q15" s="6" t="n">
        <v>660.33</v>
      </c>
      <c r="R15" s="6" t="n">
        <f aca="false">O15-Q15</f>
        <v>138.67</v>
      </c>
      <c r="S15" s="6" t="n">
        <v>550</v>
      </c>
      <c r="T15" s="6" t="n">
        <f aca="false">Q15-S15</f>
        <v>110.33</v>
      </c>
      <c r="U15" s="7" t="n">
        <f aca="false">IF(Q15=0,0,T15/Q15)</f>
        <v>0.167083125104115</v>
      </c>
      <c r="V15" s="5" t="s">
        <v>148</v>
      </c>
      <c r="W15" s="5" t="s">
        <v>156</v>
      </c>
      <c r="X15" s="5" t="s">
        <v>132</v>
      </c>
    </row>
    <row r="16" customFormat="false" ht="15" hidden="false" customHeight="false" outlineLevel="0" collapsed="false">
      <c r="A16" s="2" t="n">
        <v>15</v>
      </c>
      <c r="B16" s="2" t="s">
        <v>183</v>
      </c>
      <c r="C16" s="12" t="n">
        <v>45853</v>
      </c>
      <c r="D16" s="2" t="s">
        <v>158</v>
      </c>
      <c r="E16" s="2" t="s">
        <v>73</v>
      </c>
      <c r="F16" s="2" t="s">
        <v>74</v>
      </c>
      <c r="G16" s="2" t="s">
        <v>71</v>
      </c>
      <c r="H16" s="2" t="s">
        <v>72</v>
      </c>
      <c r="I16" s="9" t="n">
        <v>1</v>
      </c>
      <c r="J16" s="3" t="n">
        <v>69.9</v>
      </c>
      <c r="K16" s="3" t="n">
        <v>69.9</v>
      </c>
      <c r="L16" s="4" t="n">
        <v>0</v>
      </c>
      <c r="M16" s="3" t="n">
        <v>0</v>
      </c>
      <c r="N16" s="3" t="n">
        <v>0</v>
      </c>
      <c r="O16" s="3" t="n">
        <f aca="false">K16-M16-N16</f>
        <v>69.9</v>
      </c>
      <c r="P16" s="4" t="n">
        <v>0.21</v>
      </c>
      <c r="Q16" s="3" t="n">
        <v>57.77</v>
      </c>
      <c r="R16" s="3" t="n">
        <f aca="false">O16-Q16</f>
        <v>12.13</v>
      </c>
      <c r="S16" s="3" t="n">
        <v>29</v>
      </c>
      <c r="T16" s="3" t="n">
        <f aca="false">Q16-S16</f>
        <v>28.77</v>
      </c>
      <c r="U16" s="4" t="n">
        <f aca="false">IF(Q16=0,0,T16/Q16)</f>
        <v>0.498009347412152</v>
      </c>
      <c r="V16" s="2" t="s">
        <v>148</v>
      </c>
      <c r="W16" s="2" t="s">
        <v>156</v>
      </c>
      <c r="X16" s="2" t="s">
        <v>132</v>
      </c>
    </row>
    <row r="17" customFormat="false" ht="15" hidden="false" customHeight="false" outlineLevel="0" collapsed="false">
      <c r="A17" s="5" t="n">
        <v>16</v>
      </c>
      <c r="B17" s="5" t="s">
        <v>184</v>
      </c>
      <c r="C17" s="13" t="n">
        <v>45856</v>
      </c>
      <c r="D17" s="5" t="s">
        <v>127</v>
      </c>
      <c r="E17" s="5" t="s">
        <v>81</v>
      </c>
      <c r="F17" s="5" t="s">
        <v>82</v>
      </c>
      <c r="G17" s="5" t="s">
        <v>79</v>
      </c>
      <c r="H17" s="5" t="s">
        <v>80</v>
      </c>
      <c r="I17" s="11" t="n">
        <v>2</v>
      </c>
      <c r="J17" s="6" t="n">
        <v>19.9</v>
      </c>
      <c r="K17" s="6" t="n">
        <v>39.8</v>
      </c>
      <c r="L17" s="7" t="n">
        <v>0.25</v>
      </c>
      <c r="M17" s="6" t="n">
        <v>9.95</v>
      </c>
      <c r="N17" s="6" t="n">
        <v>0</v>
      </c>
      <c r="O17" s="6" t="n">
        <f aca="false">K17-M17-N17</f>
        <v>29.85</v>
      </c>
      <c r="P17" s="7" t="n">
        <v>0.21</v>
      </c>
      <c r="Q17" s="6" t="n">
        <v>24.67</v>
      </c>
      <c r="R17" s="6" t="n">
        <f aca="false">O17-Q17</f>
        <v>5.18</v>
      </c>
      <c r="S17" s="6" t="n">
        <v>14</v>
      </c>
      <c r="T17" s="6" t="n">
        <f aca="false">Q17-S17</f>
        <v>10.67</v>
      </c>
      <c r="U17" s="7" t="n">
        <f aca="false">IF(Q17=0,0,T17/Q17)</f>
        <v>0.432509120389137</v>
      </c>
      <c r="V17" s="5" t="s">
        <v>126</v>
      </c>
      <c r="W17" s="5" t="s">
        <v>156</v>
      </c>
      <c r="X17" s="5" t="s">
        <v>185</v>
      </c>
    </row>
    <row r="18" customFormat="false" ht="15" hidden="false" customHeight="false" outlineLevel="0" collapsed="false">
      <c r="A18" s="2" t="n">
        <v>17</v>
      </c>
      <c r="B18" s="2" t="s">
        <v>184</v>
      </c>
      <c r="C18" s="12" t="n">
        <v>45856</v>
      </c>
      <c r="D18" s="2" t="s">
        <v>127</v>
      </c>
      <c r="E18" s="2" t="s">
        <v>57</v>
      </c>
      <c r="F18" s="2" t="s">
        <v>58</v>
      </c>
      <c r="G18" s="2" t="s">
        <v>59</v>
      </c>
      <c r="H18" s="2" t="s">
        <v>60</v>
      </c>
      <c r="I18" s="9" t="n">
        <v>1</v>
      </c>
      <c r="J18" s="3" t="n">
        <v>39.9</v>
      </c>
      <c r="K18" s="3" t="n">
        <v>39.9</v>
      </c>
      <c r="L18" s="4" t="n">
        <v>0</v>
      </c>
      <c r="M18" s="3" t="n">
        <v>0</v>
      </c>
      <c r="N18" s="3" t="n">
        <v>0</v>
      </c>
      <c r="O18" s="3" t="n">
        <f aca="false">K18-M18-N18</f>
        <v>39.9</v>
      </c>
      <c r="P18" s="4" t="n">
        <v>0.21</v>
      </c>
      <c r="Q18" s="3" t="n">
        <v>32.98</v>
      </c>
      <c r="R18" s="3" t="n">
        <f aca="false">O18-Q18</f>
        <v>6.92</v>
      </c>
      <c r="S18" s="3" t="n">
        <v>16</v>
      </c>
      <c r="T18" s="3" t="n">
        <f aca="false">Q18-S18</f>
        <v>16.98</v>
      </c>
      <c r="U18" s="4" t="n">
        <f aca="false">IF(Q18=0,0,T18/Q18)</f>
        <v>0.514857489387508</v>
      </c>
      <c r="V18" s="2" t="s">
        <v>126</v>
      </c>
      <c r="W18" s="2" t="s">
        <v>156</v>
      </c>
      <c r="X18" s="2" t="s">
        <v>185</v>
      </c>
    </row>
    <row r="19" customFormat="false" ht="15" hidden="false" customHeight="false" outlineLevel="0" collapsed="false">
      <c r="A19" s="5" t="n">
        <v>18</v>
      </c>
      <c r="B19" s="5" t="s">
        <v>184</v>
      </c>
      <c r="C19" s="13" t="n">
        <v>45856</v>
      </c>
      <c r="D19" s="5" t="s">
        <v>127</v>
      </c>
      <c r="E19" s="5" t="s">
        <v>40</v>
      </c>
      <c r="F19" s="5" t="s">
        <v>41</v>
      </c>
      <c r="G19" s="5" t="s">
        <v>38</v>
      </c>
      <c r="H19" s="5" t="s">
        <v>39</v>
      </c>
      <c r="I19" s="11" t="n">
        <v>1</v>
      </c>
      <c r="J19" s="6" t="n">
        <v>12.9</v>
      </c>
      <c r="K19" s="6" t="n">
        <v>12.9</v>
      </c>
      <c r="L19" s="7" t="n">
        <v>0.05</v>
      </c>
      <c r="M19" s="6" t="n">
        <v>0.64</v>
      </c>
      <c r="N19" s="6" t="n">
        <v>0</v>
      </c>
      <c r="O19" s="6" t="n">
        <f aca="false">K19-M19-N19</f>
        <v>12.26</v>
      </c>
      <c r="P19" s="7" t="n">
        <v>0.21</v>
      </c>
      <c r="Q19" s="6" t="n">
        <v>10.13</v>
      </c>
      <c r="R19" s="6" t="n">
        <f aca="false">O19-Q19</f>
        <v>2.13</v>
      </c>
      <c r="S19" s="6" t="n">
        <v>2.1</v>
      </c>
      <c r="T19" s="6" t="n">
        <f aca="false">Q19-S19</f>
        <v>8.03</v>
      </c>
      <c r="U19" s="7" t="n">
        <f aca="false">IF(Q19=0,0,T19/Q19)</f>
        <v>0.792694965449161</v>
      </c>
      <c r="V19" s="5" t="s">
        <v>126</v>
      </c>
      <c r="W19" s="5" t="s">
        <v>156</v>
      </c>
      <c r="X19" s="5" t="s">
        <v>185</v>
      </c>
    </row>
    <row r="20" customFormat="false" ht="15" hidden="false" customHeight="false" outlineLevel="0" collapsed="false">
      <c r="A20" s="2" t="n">
        <v>19</v>
      </c>
      <c r="B20" s="2" t="s">
        <v>187</v>
      </c>
      <c r="C20" s="12" t="n">
        <v>45860</v>
      </c>
      <c r="D20" s="2" t="s">
        <v>188</v>
      </c>
      <c r="E20" s="2" t="s">
        <v>26</v>
      </c>
      <c r="F20" s="2" t="s">
        <v>27</v>
      </c>
      <c r="G20" s="2" t="s">
        <v>22</v>
      </c>
      <c r="H20" s="2" t="s">
        <v>23</v>
      </c>
      <c r="I20" s="9" t="n">
        <v>4</v>
      </c>
      <c r="J20" s="3" t="n">
        <v>79.9</v>
      </c>
      <c r="K20" s="3" t="n">
        <v>319.6</v>
      </c>
      <c r="L20" s="4" t="n">
        <v>0</v>
      </c>
      <c r="M20" s="3" t="n">
        <v>0</v>
      </c>
      <c r="N20" s="3" t="n">
        <v>0</v>
      </c>
      <c r="O20" s="3" t="n">
        <f aca="false">K20-M20-N20</f>
        <v>319.6</v>
      </c>
      <c r="P20" s="4" t="n">
        <v>0.21</v>
      </c>
      <c r="Q20" s="3" t="n">
        <v>264.13</v>
      </c>
      <c r="R20" s="3" t="n">
        <f aca="false">O20-Q20</f>
        <v>55.47</v>
      </c>
      <c r="S20" s="3" t="n">
        <v>136</v>
      </c>
      <c r="T20" s="3" t="n">
        <f aca="false">Q20-S20</f>
        <v>128.13</v>
      </c>
      <c r="U20" s="4" t="n">
        <f aca="false">IF(Q20=0,0,T20/Q20)</f>
        <v>0.485102033089766</v>
      </c>
      <c r="V20" s="2" t="s">
        <v>138</v>
      </c>
      <c r="W20" s="2" t="s">
        <v>154</v>
      </c>
      <c r="X20" s="2" t="s">
        <v>132</v>
      </c>
    </row>
    <row r="21" customFormat="false" ht="15" hidden="false" customHeight="false" outlineLevel="0" collapsed="false">
      <c r="A21" s="5" t="n">
        <v>20</v>
      </c>
      <c r="B21" s="5" t="s">
        <v>192</v>
      </c>
      <c r="C21" s="13" t="n">
        <v>45862</v>
      </c>
      <c r="D21" s="5" t="s">
        <v>158</v>
      </c>
      <c r="E21" s="5" t="s">
        <v>53</v>
      </c>
      <c r="F21" s="5" t="s">
        <v>54</v>
      </c>
      <c r="G21" s="5" t="s">
        <v>51</v>
      </c>
      <c r="H21" s="5" t="s">
        <v>52</v>
      </c>
      <c r="I21" s="11" t="n">
        <v>1</v>
      </c>
      <c r="J21" s="6" t="n">
        <v>59.9</v>
      </c>
      <c r="K21" s="6" t="n">
        <v>59.9</v>
      </c>
      <c r="L21" s="7" t="n">
        <v>0</v>
      </c>
      <c r="M21" s="6" t="n">
        <v>0</v>
      </c>
      <c r="N21" s="6" t="n">
        <v>0</v>
      </c>
      <c r="O21" s="6" t="n">
        <f aca="false">K21-M21-N21</f>
        <v>59.9</v>
      </c>
      <c r="P21" s="7" t="n">
        <v>0.21</v>
      </c>
      <c r="Q21" s="6" t="n">
        <v>49.5</v>
      </c>
      <c r="R21" s="6" t="n">
        <f aca="false">O21-Q21</f>
        <v>10.4</v>
      </c>
      <c r="S21" s="6" t="n">
        <v>26</v>
      </c>
      <c r="T21" s="6" t="n">
        <f aca="false">Q21-S21</f>
        <v>23.5</v>
      </c>
      <c r="U21" s="7" t="n">
        <f aca="false">IF(Q21=0,0,T21/Q21)</f>
        <v>0.474747474747475</v>
      </c>
      <c r="V21" s="5" t="s">
        <v>193</v>
      </c>
      <c r="W21" s="5" t="s">
        <v>136</v>
      </c>
      <c r="X21" s="5" t="s">
        <v>132</v>
      </c>
    </row>
    <row r="22" customFormat="false" ht="15" hidden="false" customHeight="false" outlineLevel="0" collapsed="false">
      <c r="A22" s="2" t="n">
        <v>21</v>
      </c>
      <c r="B22" s="2" t="s">
        <v>192</v>
      </c>
      <c r="C22" s="12" t="n">
        <v>45862</v>
      </c>
      <c r="D22" s="2" t="s">
        <v>158</v>
      </c>
      <c r="E22" s="2" t="s">
        <v>31</v>
      </c>
      <c r="F22" s="2" t="s">
        <v>32</v>
      </c>
      <c r="G22" s="2" t="s">
        <v>33</v>
      </c>
      <c r="H22" s="2" t="s">
        <v>23</v>
      </c>
      <c r="I22" s="9" t="n">
        <v>2</v>
      </c>
      <c r="J22" s="3" t="n">
        <v>89.9</v>
      </c>
      <c r="K22" s="3" t="n">
        <v>179.8</v>
      </c>
      <c r="L22" s="4" t="n">
        <v>0</v>
      </c>
      <c r="M22" s="3" t="n">
        <v>0</v>
      </c>
      <c r="N22" s="3" t="n">
        <v>0</v>
      </c>
      <c r="O22" s="3" t="n">
        <f aca="false">K22-M22-N22</f>
        <v>179.8</v>
      </c>
      <c r="P22" s="4" t="n">
        <v>0.21</v>
      </c>
      <c r="Q22" s="3" t="n">
        <v>148.6</v>
      </c>
      <c r="R22" s="3" t="n">
        <f aca="false">O22-Q22</f>
        <v>31.2</v>
      </c>
      <c r="S22" s="3" t="n">
        <v>96</v>
      </c>
      <c r="T22" s="3" t="n">
        <f aca="false">Q22-S22</f>
        <v>52.6</v>
      </c>
      <c r="U22" s="4" t="n">
        <f aca="false">IF(Q22=0,0,T22/Q22)</f>
        <v>0.353970390309556</v>
      </c>
      <c r="V22" s="2" t="s">
        <v>193</v>
      </c>
      <c r="W22" s="2" t="s">
        <v>136</v>
      </c>
      <c r="X22" s="2" t="s">
        <v>132</v>
      </c>
    </row>
    <row r="23" customFormat="false" ht="15" hidden="false" customHeight="false" outlineLevel="0" collapsed="false">
      <c r="A23" s="5" t="n">
        <v>22</v>
      </c>
      <c r="B23" s="5" t="s">
        <v>194</v>
      </c>
      <c r="C23" s="13" t="n">
        <v>45862</v>
      </c>
      <c r="D23" s="5" t="s">
        <v>179</v>
      </c>
      <c r="E23" s="5" t="s">
        <v>96</v>
      </c>
      <c r="F23" s="5" t="s">
        <v>97</v>
      </c>
      <c r="G23" s="5" t="s">
        <v>94</v>
      </c>
      <c r="H23" s="5" t="s">
        <v>95</v>
      </c>
      <c r="I23" s="11" t="n">
        <v>12</v>
      </c>
      <c r="J23" s="6" t="n">
        <v>7.99</v>
      </c>
      <c r="K23" s="6" t="n">
        <v>95.88</v>
      </c>
      <c r="L23" s="7" t="n">
        <v>0</v>
      </c>
      <c r="M23" s="6" t="n">
        <v>0</v>
      </c>
      <c r="N23" s="6" t="n">
        <v>19.18</v>
      </c>
      <c r="O23" s="6" t="n">
        <f aca="false">K23-M23-N23</f>
        <v>76.7</v>
      </c>
      <c r="P23" s="7" t="n">
        <v>0.1</v>
      </c>
      <c r="Q23" s="6" t="n">
        <v>69.73</v>
      </c>
      <c r="R23" s="6" t="n">
        <f aca="false">O23-Q23</f>
        <v>6.96999999999999</v>
      </c>
      <c r="S23" s="6" t="n">
        <v>40.8</v>
      </c>
      <c r="T23" s="6" t="n">
        <f aca="false">Q23-S23</f>
        <v>28.93</v>
      </c>
      <c r="U23" s="7" t="n">
        <f aca="false">IF(Q23=0,0,T23/Q23)</f>
        <v>0.414885988813997</v>
      </c>
      <c r="V23" s="5" t="s">
        <v>126</v>
      </c>
      <c r="W23" s="5" t="s">
        <v>136</v>
      </c>
      <c r="X23" s="5" t="s">
        <v>132</v>
      </c>
    </row>
    <row r="24" customFormat="false" ht="15" hidden="false" customHeight="false" outlineLevel="0" collapsed="false">
      <c r="A24" s="2" t="n">
        <v>23</v>
      </c>
      <c r="B24" s="2" t="s">
        <v>195</v>
      </c>
      <c r="C24" s="12" t="n">
        <v>45863</v>
      </c>
      <c r="D24" s="2" t="s">
        <v>149</v>
      </c>
      <c r="E24" s="2" t="s">
        <v>77</v>
      </c>
      <c r="F24" s="2" t="s">
        <v>78</v>
      </c>
      <c r="G24" s="2" t="s">
        <v>79</v>
      </c>
      <c r="H24" s="2" t="s">
        <v>80</v>
      </c>
      <c r="I24" s="9" t="n">
        <v>2</v>
      </c>
      <c r="J24" s="3" t="n">
        <v>59.9</v>
      </c>
      <c r="K24" s="3" t="n">
        <v>119.8</v>
      </c>
      <c r="L24" s="4" t="n">
        <v>0</v>
      </c>
      <c r="M24" s="3" t="n">
        <v>0</v>
      </c>
      <c r="N24" s="3" t="n">
        <v>0</v>
      </c>
      <c r="O24" s="3" t="n">
        <f aca="false">K24-M24-N24</f>
        <v>119.8</v>
      </c>
      <c r="P24" s="4" t="n">
        <v>0.21</v>
      </c>
      <c r="Q24" s="3" t="n">
        <v>99.01</v>
      </c>
      <c r="R24" s="3" t="n">
        <f aca="false">O24-Q24</f>
        <v>20.79</v>
      </c>
      <c r="S24" s="3" t="n">
        <v>48</v>
      </c>
      <c r="T24" s="3" t="n">
        <f aca="false">Q24-S24</f>
        <v>51.01</v>
      </c>
      <c r="U24" s="4" t="n">
        <f aca="false">IF(Q24=0,0,T24/Q24)</f>
        <v>0.515200484799515</v>
      </c>
      <c r="V24" s="2" t="s">
        <v>148</v>
      </c>
      <c r="W24" s="2" t="s">
        <v>136</v>
      </c>
      <c r="X24" s="2" t="s">
        <v>132</v>
      </c>
    </row>
    <row r="25" customFormat="false" ht="15" hidden="false" customHeight="false" outlineLevel="0" collapsed="false">
      <c r="A25" s="5" t="n">
        <v>24</v>
      </c>
      <c r="B25" s="5" t="s">
        <v>196</v>
      </c>
      <c r="C25" s="13" t="n">
        <v>45864</v>
      </c>
      <c r="D25" s="5" t="s">
        <v>173</v>
      </c>
      <c r="E25" s="5" t="s">
        <v>89</v>
      </c>
      <c r="F25" s="5" t="s">
        <v>90</v>
      </c>
      <c r="G25" s="5" t="s">
        <v>91</v>
      </c>
      <c r="H25" s="5" t="s">
        <v>86</v>
      </c>
      <c r="I25" s="11" t="n">
        <v>5</v>
      </c>
      <c r="J25" s="6" t="n">
        <v>4.99</v>
      </c>
      <c r="K25" s="6" t="n">
        <v>24.95</v>
      </c>
      <c r="L25" s="7" t="n">
        <v>0</v>
      </c>
      <c r="M25" s="6" t="n">
        <v>0</v>
      </c>
      <c r="N25" s="6" t="n">
        <v>3.74</v>
      </c>
      <c r="O25" s="6" t="n">
        <f aca="false">K25-M25-N25</f>
        <v>21.21</v>
      </c>
      <c r="P25" s="7" t="n">
        <v>0.1</v>
      </c>
      <c r="Q25" s="6" t="n">
        <v>19.28</v>
      </c>
      <c r="R25" s="6" t="n">
        <f aca="false">O25-Q25</f>
        <v>1.93</v>
      </c>
      <c r="S25" s="6" t="n">
        <v>11.5</v>
      </c>
      <c r="T25" s="6" t="n">
        <f aca="false">Q25-S25</f>
        <v>7.78</v>
      </c>
      <c r="U25" s="7" t="n">
        <f aca="false">IF(Q25=0,0,T25/Q25)</f>
        <v>0.403526970954357</v>
      </c>
      <c r="V25" s="5" t="s">
        <v>138</v>
      </c>
      <c r="W25" s="5" t="s">
        <v>154</v>
      </c>
      <c r="X25" s="5" t="s">
        <v>132</v>
      </c>
    </row>
    <row r="26" customFormat="false" ht="15" hidden="false" customHeight="false" outlineLevel="0" collapsed="false">
      <c r="A26" s="2" t="n">
        <v>25</v>
      </c>
      <c r="B26" s="2" t="s">
        <v>196</v>
      </c>
      <c r="C26" s="12" t="n">
        <v>45864</v>
      </c>
      <c r="D26" s="2" t="s">
        <v>173</v>
      </c>
      <c r="E26" s="2" t="s">
        <v>63</v>
      </c>
      <c r="F26" s="2" t="s">
        <v>64</v>
      </c>
      <c r="G26" s="2" t="s">
        <v>65</v>
      </c>
      <c r="H26" s="2" t="s">
        <v>66</v>
      </c>
      <c r="I26" s="9" t="n">
        <v>2</v>
      </c>
      <c r="J26" s="3" t="n">
        <v>139</v>
      </c>
      <c r="K26" s="3" t="n">
        <v>278</v>
      </c>
      <c r="L26" s="4" t="n">
        <v>0</v>
      </c>
      <c r="M26" s="3" t="n">
        <v>0</v>
      </c>
      <c r="N26" s="3" t="n">
        <v>41.7</v>
      </c>
      <c r="O26" s="3" t="n">
        <f aca="false">K26-M26-N26</f>
        <v>236.3</v>
      </c>
      <c r="P26" s="4" t="n">
        <v>0.21</v>
      </c>
      <c r="Q26" s="3" t="n">
        <v>195.29</v>
      </c>
      <c r="R26" s="3" t="n">
        <f aca="false">O26-Q26</f>
        <v>41.01</v>
      </c>
      <c r="S26" s="3" t="n">
        <v>124</v>
      </c>
      <c r="T26" s="3" t="n">
        <f aca="false">Q26-S26</f>
        <v>71.29</v>
      </c>
      <c r="U26" s="4" t="n">
        <f aca="false">IF(Q26=0,0,T26/Q26)</f>
        <v>0.365046853397511</v>
      </c>
      <c r="V26" s="2" t="s">
        <v>138</v>
      </c>
      <c r="W26" s="2" t="s">
        <v>154</v>
      </c>
      <c r="X26" s="2" t="s">
        <v>132</v>
      </c>
    </row>
    <row r="27" customFormat="false" ht="15" hidden="false" customHeight="false" outlineLevel="0" collapsed="false">
      <c r="A27" s="5" t="n">
        <v>26</v>
      </c>
      <c r="B27" s="5" t="s">
        <v>196</v>
      </c>
      <c r="C27" s="13" t="n">
        <v>45864</v>
      </c>
      <c r="D27" s="5" t="s">
        <v>173</v>
      </c>
      <c r="E27" s="5" t="s">
        <v>55</v>
      </c>
      <c r="F27" s="5" t="s">
        <v>56</v>
      </c>
      <c r="G27" s="5" t="s">
        <v>51</v>
      </c>
      <c r="H27" s="5" t="s">
        <v>52</v>
      </c>
      <c r="I27" s="11" t="n">
        <v>3</v>
      </c>
      <c r="J27" s="6" t="n">
        <v>119</v>
      </c>
      <c r="K27" s="6" t="n">
        <v>357</v>
      </c>
      <c r="L27" s="7" t="n">
        <v>0</v>
      </c>
      <c r="M27" s="6" t="n">
        <v>0</v>
      </c>
      <c r="N27" s="6" t="n">
        <v>53.55</v>
      </c>
      <c r="O27" s="6" t="n">
        <f aca="false">K27-M27-N27</f>
        <v>303.45</v>
      </c>
      <c r="P27" s="7" t="n">
        <v>0.21</v>
      </c>
      <c r="Q27" s="6" t="n">
        <v>250.79</v>
      </c>
      <c r="R27" s="6" t="n">
        <f aca="false">O27-Q27</f>
        <v>52.66</v>
      </c>
      <c r="S27" s="6" t="n">
        <v>165</v>
      </c>
      <c r="T27" s="6" t="n">
        <f aca="false">Q27-S27</f>
        <v>85.79</v>
      </c>
      <c r="U27" s="7" t="n">
        <f aca="false">IF(Q27=0,0,T27/Q27)</f>
        <v>0.342079030264365</v>
      </c>
      <c r="V27" s="5" t="s">
        <v>138</v>
      </c>
      <c r="W27" s="5" t="s">
        <v>154</v>
      </c>
      <c r="X27" s="5" t="s">
        <v>132</v>
      </c>
    </row>
    <row r="28" customFormat="false" ht="15" hidden="false" customHeight="false" outlineLevel="0" collapsed="false">
      <c r="A28" s="2" t="n">
        <v>27</v>
      </c>
      <c r="B28" s="2" t="s">
        <v>196</v>
      </c>
      <c r="C28" s="12" t="n">
        <v>45864</v>
      </c>
      <c r="D28" s="2" t="s">
        <v>173</v>
      </c>
      <c r="E28" s="2" t="s">
        <v>83</v>
      </c>
      <c r="F28" s="2" t="s">
        <v>84</v>
      </c>
      <c r="G28" s="2" t="s">
        <v>85</v>
      </c>
      <c r="H28" s="2" t="s">
        <v>86</v>
      </c>
      <c r="I28" s="9" t="n">
        <v>1</v>
      </c>
      <c r="J28" s="3" t="n">
        <v>3.9</v>
      </c>
      <c r="K28" s="3" t="n">
        <v>3.9</v>
      </c>
      <c r="L28" s="4" t="n">
        <v>0</v>
      </c>
      <c r="M28" s="3" t="n">
        <v>0</v>
      </c>
      <c r="N28" s="3" t="n">
        <v>0.58</v>
      </c>
      <c r="O28" s="3" t="n">
        <f aca="false">K28-M28-N28</f>
        <v>3.32</v>
      </c>
      <c r="P28" s="4" t="n">
        <v>0.1</v>
      </c>
      <c r="Q28" s="3" t="n">
        <v>3.02</v>
      </c>
      <c r="R28" s="3" t="n">
        <f aca="false">O28-Q28</f>
        <v>0.3</v>
      </c>
      <c r="S28" s="3" t="n">
        <v>2.5</v>
      </c>
      <c r="T28" s="3" t="n">
        <f aca="false">Q28-S28</f>
        <v>0.52</v>
      </c>
      <c r="U28" s="4" t="n">
        <f aca="false">IF(Q28=0,0,T28/Q28)</f>
        <v>0.172185430463576</v>
      </c>
      <c r="V28" s="2" t="s">
        <v>138</v>
      </c>
      <c r="W28" s="2" t="s">
        <v>154</v>
      </c>
      <c r="X28" s="2" t="s">
        <v>132</v>
      </c>
    </row>
    <row r="29" customFormat="false" ht="15" hidden="false" customHeight="false" outlineLevel="0" collapsed="false">
      <c r="A29" s="5" t="n">
        <v>28</v>
      </c>
      <c r="B29" s="5" t="s">
        <v>196</v>
      </c>
      <c r="C29" s="13" t="n">
        <v>45864</v>
      </c>
      <c r="D29" s="5" t="s">
        <v>173</v>
      </c>
      <c r="E29" s="5" t="s">
        <v>96</v>
      </c>
      <c r="F29" s="5" t="s">
        <v>97</v>
      </c>
      <c r="G29" s="5" t="s">
        <v>94</v>
      </c>
      <c r="H29" s="5" t="s">
        <v>95</v>
      </c>
      <c r="I29" s="11" t="n">
        <v>3</v>
      </c>
      <c r="J29" s="6" t="n">
        <v>7.99</v>
      </c>
      <c r="K29" s="6" t="n">
        <v>23.97</v>
      </c>
      <c r="L29" s="7" t="n">
        <v>0</v>
      </c>
      <c r="M29" s="6" t="n">
        <v>0</v>
      </c>
      <c r="N29" s="6" t="n">
        <v>3.6</v>
      </c>
      <c r="O29" s="6" t="n">
        <f aca="false">K29-M29-N29</f>
        <v>20.37</v>
      </c>
      <c r="P29" s="7" t="n">
        <v>0.1</v>
      </c>
      <c r="Q29" s="6" t="n">
        <v>18.52</v>
      </c>
      <c r="R29" s="6" t="n">
        <f aca="false">O29-Q29</f>
        <v>1.85</v>
      </c>
      <c r="S29" s="6" t="n">
        <v>10.2</v>
      </c>
      <c r="T29" s="6" t="n">
        <f aca="false">Q29-S29</f>
        <v>8.32</v>
      </c>
      <c r="U29" s="7" t="n">
        <f aca="false">IF(Q29=0,0,T29/Q29)</f>
        <v>0.449244060475162</v>
      </c>
      <c r="V29" s="5" t="s">
        <v>138</v>
      </c>
      <c r="W29" s="5" t="s">
        <v>154</v>
      </c>
      <c r="X29" s="5" t="s">
        <v>132</v>
      </c>
    </row>
    <row r="30" customFormat="false" ht="15" hidden="false" customHeight="false" outlineLevel="0" collapsed="false">
      <c r="A30" s="2" t="n">
        <v>29</v>
      </c>
      <c r="B30" s="2" t="s">
        <v>197</v>
      </c>
      <c r="C30" s="12" t="n">
        <v>45867</v>
      </c>
      <c r="D30" s="2" t="s">
        <v>158</v>
      </c>
      <c r="E30" s="2" t="s">
        <v>89</v>
      </c>
      <c r="F30" s="2" t="s">
        <v>90</v>
      </c>
      <c r="G30" s="2" t="s">
        <v>91</v>
      </c>
      <c r="H30" s="2" t="s">
        <v>86</v>
      </c>
      <c r="I30" s="9" t="n">
        <v>1</v>
      </c>
      <c r="J30" s="3" t="n">
        <v>4.99</v>
      </c>
      <c r="K30" s="3" t="n">
        <v>4.99</v>
      </c>
      <c r="L30" s="4" t="n">
        <v>0</v>
      </c>
      <c r="M30" s="3" t="n">
        <v>0</v>
      </c>
      <c r="N30" s="3" t="n">
        <v>0</v>
      </c>
      <c r="O30" s="3" t="n">
        <f aca="false">K30-M30-N30</f>
        <v>4.99</v>
      </c>
      <c r="P30" s="4" t="n">
        <v>0.1</v>
      </c>
      <c r="Q30" s="3" t="n">
        <v>4.54</v>
      </c>
      <c r="R30" s="3" t="n">
        <f aca="false">O30-Q30</f>
        <v>0.45</v>
      </c>
      <c r="S30" s="3" t="n">
        <v>2.3</v>
      </c>
      <c r="T30" s="3" t="n">
        <f aca="false">Q30-S30</f>
        <v>2.24</v>
      </c>
      <c r="U30" s="4" t="n">
        <f aca="false">IF(Q30=0,0,T30/Q30)</f>
        <v>0.493392070484582</v>
      </c>
      <c r="V30" s="2" t="s">
        <v>148</v>
      </c>
      <c r="W30" s="2" t="s">
        <v>156</v>
      </c>
      <c r="X30" s="2" t="s">
        <v>132</v>
      </c>
    </row>
    <row r="31" customFormat="false" ht="15" hidden="false" customHeight="false" outlineLevel="0" collapsed="false">
      <c r="A31" s="5" t="n">
        <v>30</v>
      </c>
      <c r="B31" s="5" t="s">
        <v>198</v>
      </c>
      <c r="C31" s="13" t="n">
        <v>45867</v>
      </c>
      <c r="D31" s="5" t="s">
        <v>139</v>
      </c>
      <c r="E31" s="5" t="s">
        <v>69</v>
      </c>
      <c r="F31" s="5" t="s">
        <v>70</v>
      </c>
      <c r="G31" s="5" t="s">
        <v>71</v>
      </c>
      <c r="H31" s="5" t="s">
        <v>72</v>
      </c>
      <c r="I31" s="11" t="n">
        <v>1</v>
      </c>
      <c r="J31" s="6" t="n">
        <v>22.9</v>
      </c>
      <c r="K31" s="6" t="n">
        <v>22.9</v>
      </c>
      <c r="L31" s="7" t="n">
        <v>0.1</v>
      </c>
      <c r="M31" s="6" t="n">
        <v>2.29</v>
      </c>
      <c r="N31" s="6" t="n">
        <v>3.09</v>
      </c>
      <c r="O31" s="6" t="n">
        <f aca="false">K31-M31-N31</f>
        <v>17.52</v>
      </c>
      <c r="P31" s="7" t="n">
        <v>0.21</v>
      </c>
      <c r="Q31" s="6" t="n">
        <v>14.48</v>
      </c>
      <c r="R31" s="6" t="n">
        <f aca="false">O31-Q31</f>
        <v>3.04</v>
      </c>
      <c r="S31" s="6" t="n">
        <v>8</v>
      </c>
      <c r="T31" s="6" t="n">
        <f aca="false">Q31-S31</f>
        <v>6.48</v>
      </c>
      <c r="U31" s="7" t="n">
        <f aca="false">IF(Q31=0,0,T31/Q31)</f>
        <v>0.447513812154696</v>
      </c>
      <c r="V31" s="5" t="s">
        <v>172</v>
      </c>
      <c r="W31" s="5" t="s">
        <v>154</v>
      </c>
      <c r="X31" s="5" t="s">
        <v>132</v>
      </c>
    </row>
    <row r="32" customFormat="false" ht="15" hidden="false" customHeight="false" outlineLevel="0" collapsed="false">
      <c r="A32" s="2" t="n">
        <v>31</v>
      </c>
      <c r="B32" s="2" t="s">
        <v>199</v>
      </c>
      <c r="C32" s="12" t="n">
        <v>45868</v>
      </c>
      <c r="D32" s="2" t="s">
        <v>188</v>
      </c>
      <c r="E32" s="2" t="s">
        <v>73</v>
      </c>
      <c r="F32" s="2" t="s">
        <v>74</v>
      </c>
      <c r="G32" s="2" t="s">
        <v>71</v>
      </c>
      <c r="H32" s="2" t="s">
        <v>72</v>
      </c>
      <c r="I32" s="9" t="n">
        <v>3</v>
      </c>
      <c r="J32" s="3" t="n">
        <v>69.9</v>
      </c>
      <c r="K32" s="3" t="n">
        <v>209.7</v>
      </c>
      <c r="L32" s="4" t="n">
        <v>0</v>
      </c>
      <c r="M32" s="3" t="n">
        <v>0</v>
      </c>
      <c r="N32" s="3" t="n">
        <v>20.97</v>
      </c>
      <c r="O32" s="3" t="n">
        <f aca="false">K32-M32-N32</f>
        <v>188.73</v>
      </c>
      <c r="P32" s="4" t="n">
        <v>0.21</v>
      </c>
      <c r="Q32" s="3" t="n">
        <v>155.98</v>
      </c>
      <c r="R32" s="3" t="n">
        <f aca="false">O32-Q32</f>
        <v>32.75</v>
      </c>
      <c r="S32" s="3" t="n">
        <v>87</v>
      </c>
      <c r="T32" s="3" t="n">
        <f aca="false">Q32-S32</f>
        <v>68.98</v>
      </c>
      <c r="U32" s="4" t="n">
        <f aca="false">IF(Q32=0,0,T32/Q32)</f>
        <v>0.44223618412617</v>
      </c>
      <c r="V32" s="2" t="s">
        <v>138</v>
      </c>
      <c r="W32" s="2" t="s">
        <v>136</v>
      </c>
      <c r="X32" s="2" t="s">
        <v>132</v>
      </c>
    </row>
    <row r="33" customFormat="false" ht="15" hidden="false" customHeight="false" outlineLevel="0" collapsed="false">
      <c r="A33" s="5" t="n">
        <v>32</v>
      </c>
      <c r="B33" s="5" t="s">
        <v>199</v>
      </c>
      <c r="C33" s="13" t="n">
        <v>45868</v>
      </c>
      <c r="D33" s="5" t="s">
        <v>188</v>
      </c>
      <c r="E33" s="5" t="s">
        <v>77</v>
      </c>
      <c r="F33" s="5" t="s">
        <v>78</v>
      </c>
      <c r="G33" s="5" t="s">
        <v>79</v>
      </c>
      <c r="H33" s="5" t="s">
        <v>80</v>
      </c>
      <c r="I33" s="11" t="n">
        <v>4</v>
      </c>
      <c r="J33" s="6" t="n">
        <v>59.9</v>
      </c>
      <c r="K33" s="6" t="n">
        <v>239.6</v>
      </c>
      <c r="L33" s="7" t="n">
        <v>0</v>
      </c>
      <c r="M33" s="6" t="n">
        <v>0</v>
      </c>
      <c r="N33" s="6" t="n">
        <v>23.96</v>
      </c>
      <c r="O33" s="6" t="n">
        <f aca="false">K33-M33-N33</f>
        <v>215.64</v>
      </c>
      <c r="P33" s="7" t="n">
        <v>0.21</v>
      </c>
      <c r="Q33" s="6" t="n">
        <v>178.21</v>
      </c>
      <c r="R33" s="6" t="n">
        <f aca="false">O33-Q33</f>
        <v>37.43</v>
      </c>
      <c r="S33" s="6" t="n">
        <v>96</v>
      </c>
      <c r="T33" s="6" t="n">
        <f aca="false">Q33-S33</f>
        <v>82.21</v>
      </c>
      <c r="U33" s="7" t="n">
        <f aca="false">IF(Q33=0,0,T33/Q33)</f>
        <v>0.461309690814208</v>
      </c>
      <c r="V33" s="5" t="s">
        <v>138</v>
      </c>
      <c r="W33" s="5" t="s">
        <v>136</v>
      </c>
      <c r="X33" s="5" t="s">
        <v>132</v>
      </c>
    </row>
    <row r="34" customFormat="false" ht="15" hidden="false" customHeight="false" outlineLevel="0" collapsed="false">
      <c r="A34" s="2" t="n">
        <v>33</v>
      </c>
      <c r="B34" s="2" t="s">
        <v>199</v>
      </c>
      <c r="C34" s="12" t="n">
        <v>45868</v>
      </c>
      <c r="D34" s="2" t="s">
        <v>188</v>
      </c>
      <c r="E34" s="2" t="s">
        <v>49</v>
      </c>
      <c r="F34" s="2" t="s">
        <v>50</v>
      </c>
      <c r="G34" s="2" t="s">
        <v>51</v>
      </c>
      <c r="H34" s="2" t="s">
        <v>52</v>
      </c>
      <c r="I34" s="9" t="n">
        <v>1</v>
      </c>
      <c r="J34" s="3" t="n">
        <v>19.9</v>
      </c>
      <c r="K34" s="3" t="n">
        <v>19.9</v>
      </c>
      <c r="L34" s="4" t="n">
        <v>0</v>
      </c>
      <c r="M34" s="3" t="n">
        <v>0</v>
      </c>
      <c r="N34" s="3" t="n">
        <v>1.99</v>
      </c>
      <c r="O34" s="3" t="n">
        <f aca="false">K34-M34-N34</f>
        <v>17.91</v>
      </c>
      <c r="P34" s="4" t="n">
        <v>0.21</v>
      </c>
      <c r="Q34" s="3" t="n">
        <v>14.8</v>
      </c>
      <c r="R34" s="3" t="n">
        <f aca="false">O34-Q34</f>
        <v>3.11</v>
      </c>
      <c r="S34" s="3" t="n">
        <v>7.9</v>
      </c>
      <c r="T34" s="3" t="n">
        <f aca="false">Q34-S34</f>
        <v>6.9</v>
      </c>
      <c r="U34" s="4" t="n">
        <f aca="false">IF(Q34=0,0,T34/Q34)</f>
        <v>0.466216216216216</v>
      </c>
      <c r="V34" s="2" t="s">
        <v>138</v>
      </c>
      <c r="W34" s="2" t="s">
        <v>136</v>
      </c>
      <c r="X34" s="2" t="s">
        <v>132</v>
      </c>
    </row>
    <row r="35" customFormat="false" ht="15" hidden="false" customHeight="false" outlineLevel="0" collapsed="false">
      <c r="A35" s="5" t="n">
        <v>34</v>
      </c>
      <c r="B35" s="5" t="s">
        <v>201</v>
      </c>
      <c r="C35" s="13" t="n">
        <v>45882</v>
      </c>
      <c r="D35" s="5" t="s">
        <v>202</v>
      </c>
      <c r="E35" s="5" t="s">
        <v>40</v>
      </c>
      <c r="F35" s="5" t="s">
        <v>41</v>
      </c>
      <c r="G35" s="5" t="s">
        <v>38</v>
      </c>
      <c r="H35" s="5" t="s">
        <v>39</v>
      </c>
      <c r="I35" s="11" t="n">
        <v>1</v>
      </c>
      <c r="J35" s="6" t="n">
        <v>12.9</v>
      </c>
      <c r="K35" s="6" t="n">
        <v>12.9</v>
      </c>
      <c r="L35" s="7" t="n">
        <v>0.25</v>
      </c>
      <c r="M35" s="6" t="n">
        <v>3.22</v>
      </c>
      <c r="N35" s="6" t="n">
        <v>1.45</v>
      </c>
      <c r="O35" s="6" t="n">
        <f aca="false">K35-M35-N35</f>
        <v>8.23</v>
      </c>
      <c r="P35" s="7" t="n">
        <v>0.21</v>
      </c>
      <c r="Q35" s="6" t="n">
        <v>6.8</v>
      </c>
      <c r="R35" s="6" t="n">
        <f aca="false">O35-Q35</f>
        <v>1.43</v>
      </c>
      <c r="S35" s="6" t="n">
        <v>2.1</v>
      </c>
      <c r="T35" s="6" t="n">
        <f aca="false">Q35-S35</f>
        <v>4.7</v>
      </c>
      <c r="U35" s="7" t="n">
        <f aca="false">IF(Q35=0,0,T35/Q35)</f>
        <v>0.691176470588235</v>
      </c>
      <c r="V35" s="5" t="s">
        <v>126</v>
      </c>
      <c r="W35" s="5" t="s">
        <v>136</v>
      </c>
      <c r="X35" s="5" t="s">
        <v>132</v>
      </c>
    </row>
    <row r="36" customFormat="false" ht="15" hidden="false" customHeight="false" outlineLevel="0" collapsed="false">
      <c r="A36" s="2" t="n">
        <v>35</v>
      </c>
      <c r="B36" s="2" t="s">
        <v>201</v>
      </c>
      <c r="C36" s="12" t="n">
        <v>45882</v>
      </c>
      <c r="D36" s="2" t="s">
        <v>202</v>
      </c>
      <c r="E36" s="2" t="s">
        <v>87</v>
      </c>
      <c r="F36" s="2" t="s">
        <v>88</v>
      </c>
      <c r="G36" s="2" t="s">
        <v>85</v>
      </c>
      <c r="H36" s="2" t="s">
        <v>86</v>
      </c>
      <c r="I36" s="9" t="n">
        <v>2</v>
      </c>
      <c r="J36" s="3" t="n">
        <v>2.49</v>
      </c>
      <c r="K36" s="3" t="n">
        <v>4.98</v>
      </c>
      <c r="L36" s="4" t="n">
        <v>0</v>
      </c>
      <c r="M36" s="3" t="n">
        <v>0</v>
      </c>
      <c r="N36" s="3" t="n">
        <v>0.75</v>
      </c>
      <c r="O36" s="3" t="n">
        <f aca="false">K36-M36-N36</f>
        <v>4.23</v>
      </c>
      <c r="P36" s="4" t="n">
        <v>0.1</v>
      </c>
      <c r="Q36" s="3" t="n">
        <v>3.85</v>
      </c>
      <c r="R36" s="3" t="n">
        <f aca="false">O36-Q36</f>
        <v>0.38</v>
      </c>
      <c r="S36" s="3" t="n">
        <v>3</v>
      </c>
      <c r="T36" s="3" t="n">
        <f aca="false">Q36-S36</f>
        <v>0.85</v>
      </c>
      <c r="U36" s="4" t="n">
        <f aca="false">IF(Q36=0,0,T36/Q36)</f>
        <v>0.220779220779221</v>
      </c>
      <c r="V36" s="2" t="s">
        <v>126</v>
      </c>
      <c r="W36" s="2" t="s">
        <v>136</v>
      </c>
      <c r="X36" s="2" t="s">
        <v>132</v>
      </c>
    </row>
    <row r="37" customFormat="false" ht="15" hidden="false" customHeight="false" outlineLevel="0" collapsed="false">
      <c r="A37" s="5" t="n">
        <v>36</v>
      </c>
      <c r="B37" s="5" t="s">
        <v>206</v>
      </c>
      <c r="C37" s="13" t="n">
        <v>45885</v>
      </c>
      <c r="D37" s="5" t="s">
        <v>139</v>
      </c>
      <c r="E37" s="5" t="s">
        <v>69</v>
      </c>
      <c r="F37" s="5" t="s">
        <v>70</v>
      </c>
      <c r="G37" s="5" t="s">
        <v>71</v>
      </c>
      <c r="H37" s="5" t="s">
        <v>72</v>
      </c>
      <c r="I37" s="11" t="n">
        <v>1</v>
      </c>
      <c r="J37" s="6" t="n">
        <v>22.9</v>
      </c>
      <c r="K37" s="6" t="n">
        <v>22.9</v>
      </c>
      <c r="L37" s="7" t="n">
        <v>0</v>
      </c>
      <c r="M37" s="6" t="n">
        <v>0</v>
      </c>
      <c r="N37" s="6" t="n">
        <v>0</v>
      </c>
      <c r="O37" s="6" t="n">
        <f aca="false">K37-M37-N37</f>
        <v>22.9</v>
      </c>
      <c r="P37" s="7" t="n">
        <v>0.21</v>
      </c>
      <c r="Q37" s="6" t="n">
        <v>18.93</v>
      </c>
      <c r="R37" s="6" t="n">
        <f aca="false">O37-Q37</f>
        <v>3.97</v>
      </c>
      <c r="S37" s="6" t="n">
        <v>8</v>
      </c>
      <c r="T37" s="6" t="n">
        <f aca="false">Q37-S37</f>
        <v>10.93</v>
      </c>
      <c r="U37" s="7" t="n">
        <f aca="false">IF(Q37=0,0,T37/Q37)</f>
        <v>0.577390385631273</v>
      </c>
      <c r="V37" s="5" t="s">
        <v>126</v>
      </c>
      <c r="W37" s="5" t="s">
        <v>177</v>
      </c>
      <c r="X37" s="5" t="s">
        <v>132</v>
      </c>
    </row>
    <row r="38" customFormat="false" ht="15" hidden="false" customHeight="false" outlineLevel="0" collapsed="false">
      <c r="A38" s="2" t="n">
        <v>37</v>
      </c>
      <c r="B38" s="2" t="s">
        <v>206</v>
      </c>
      <c r="C38" s="12" t="n">
        <v>45885</v>
      </c>
      <c r="D38" s="2" t="s">
        <v>139</v>
      </c>
      <c r="E38" s="2" t="s">
        <v>36</v>
      </c>
      <c r="F38" s="2" t="s">
        <v>37</v>
      </c>
      <c r="G38" s="2" t="s">
        <v>38</v>
      </c>
      <c r="H38" s="2" t="s">
        <v>39</v>
      </c>
      <c r="I38" s="9" t="n">
        <v>1</v>
      </c>
      <c r="J38" s="3" t="n">
        <v>399</v>
      </c>
      <c r="K38" s="3" t="n">
        <v>399</v>
      </c>
      <c r="L38" s="4" t="n">
        <v>0</v>
      </c>
      <c r="M38" s="3" t="n">
        <v>0</v>
      </c>
      <c r="N38" s="3" t="n">
        <v>0</v>
      </c>
      <c r="O38" s="3" t="n">
        <f aca="false">K38-M38-N38</f>
        <v>399</v>
      </c>
      <c r="P38" s="4" t="n">
        <v>0.21</v>
      </c>
      <c r="Q38" s="3" t="n">
        <v>329.75</v>
      </c>
      <c r="R38" s="3" t="n">
        <f aca="false">O38-Q38</f>
        <v>69.25</v>
      </c>
      <c r="S38" s="3" t="n">
        <v>265</v>
      </c>
      <c r="T38" s="3" t="n">
        <f aca="false">Q38-S38</f>
        <v>64.75</v>
      </c>
      <c r="U38" s="4" t="n">
        <f aca="false">IF(Q38=0,0,T38/Q38)</f>
        <v>0.196360879454132</v>
      </c>
      <c r="V38" s="2" t="s">
        <v>126</v>
      </c>
      <c r="W38" s="2" t="s">
        <v>177</v>
      </c>
      <c r="X38" s="2" t="s">
        <v>132</v>
      </c>
    </row>
    <row r="39" customFormat="false" ht="15" hidden="false" customHeight="false" outlineLevel="0" collapsed="false">
      <c r="A39" s="5" t="n">
        <v>38</v>
      </c>
      <c r="B39" s="5" t="s">
        <v>206</v>
      </c>
      <c r="C39" s="13" t="n">
        <v>45885</v>
      </c>
      <c r="D39" s="5" t="s">
        <v>139</v>
      </c>
      <c r="E39" s="5" t="s">
        <v>92</v>
      </c>
      <c r="F39" s="5" t="s">
        <v>93</v>
      </c>
      <c r="G39" s="5" t="s">
        <v>94</v>
      </c>
      <c r="H39" s="5" t="s">
        <v>95</v>
      </c>
      <c r="I39" s="11" t="n">
        <v>1</v>
      </c>
      <c r="J39" s="6" t="n">
        <v>4.49</v>
      </c>
      <c r="K39" s="6" t="n">
        <v>4.49</v>
      </c>
      <c r="L39" s="7" t="n">
        <v>0</v>
      </c>
      <c r="M39" s="6" t="n">
        <v>0</v>
      </c>
      <c r="N39" s="6" t="n">
        <v>0</v>
      </c>
      <c r="O39" s="6" t="n">
        <f aca="false">K39-M39-N39</f>
        <v>4.49</v>
      </c>
      <c r="P39" s="7" t="n">
        <v>0.1</v>
      </c>
      <c r="Q39" s="6" t="n">
        <v>4.08</v>
      </c>
      <c r="R39" s="6" t="n">
        <f aca="false">O39-Q39</f>
        <v>0.41</v>
      </c>
      <c r="S39" s="6" t="n">
        <v>2.1</v>
      </c>
      <c r="T39" s="6" t="n">
        <f aca="false">Q39-S39</f>
        <v>1.98</v>
      </c>
      <c r="U39" s="7" t="n">
        <f aca="false">IF(Q39=0,0,T39/Q39)</f>
        <v>0.485294117647059</v>
      </c>
      <c r="V39" s="5" t="s">
        <v>126</v>
      </c>
      <c r="W39" s="5" t="s">
        <v>177</v>
      </c>
      <c r="X39" s="5" t="s">
        <v>132</v>
      </c>
    </row>
    <row r="40" customFormat="false" ht="15" hidden="false" customHeight="false" outlineLevel="0" collapsed="false">
      <c r="A40" s="2" t="n">
        <v>39</v>
      </c>
      <c r="B40" s="2" t="s">
        <v>206</v>
      </c>
      <c r="C40" s="12" t="n">
        <v>45885</v>
      </c>
      <c r="D40" s="2" t="s">
        <v>139</v>
      </c>
      <c r="E40" s="2" t="s">
        <v>83</v>
      </c>
      <c r="F40" s="2" t="s">
        <v>84</v>
      </c>
      <c r="G40" s="2" t="s">
        <v>85</v>
      </c>
      <c r="H40" s="2" t="s">
        <v>86</v>
      </c>
      <c r="I40" s="9" t="n">
        <v>1</v>
      </c>
      <c r="J40" s="3" t="n">
        <v>3.9</v>
      </c>
      <c r="K40" s="3" t="n">
        <v>3.9</v>
      </c>
      <c r="L40" s="4" t="n">
        <v>0.25</v>
      </c>
      <c r="M40" s="3" t="n">
        <v>0.98</v>
      </c>
      <c r="N40" s="3" t="n">
        <v>0</v>
      </c>
      <c r="O40" s="3" t="n">
        <f aca="false">K40-M40-N40</f>
        <v>2.92</v>
      </c>
      <c r="P40" s="4" t="n">
        <v>0.1</v>
      </c>
      <c r="Q40" s="3" t="n">
        <v>2.65</v>
      </c>
      <c r="R40" s="3" t="n">
        <f aca="false">O40-Q40</f>
        <v>0.27</v>
      </c>
      <c r="S40" s="3" t="n">
        <v>2.5</v>
      </c>
      <c r="T40" s="3" t="n">
        <f aca="false">Q40-S40</f>
        <v>0.15</v>
      </c>
      <c r="U40" s="4" t="n">
        <f aca="false">IF(Q40=0,0,T40/Q40)</f>
        <v>0.0566037735849056</v>
      </c>
      <c r="V40" s="2" t="s">
        <v>126</v>
      </c>
      <c r="W40" s="2" t="s">
        <v>177</v>
      </c>
      <c r="X40" s="2" t="s">
        <v>132</v>
      </c>
    </row>
    <row r="41" customFormat="false" ht="15" hidden="false" customHeight="false" outlineLevel="0" collapsed="false">
      <c r="A41" s="5" t="n">
        <v>40</v>
      </c>
      <c r="B41" s="5" t="s">
        <v>207</v>
      </c>
      <c r="C41" s="13" t="n">
        <v>45886</v>
      </c>
      <c r="D41" s="5" t="s">
        <v>127</v>
      </c>
      <c r="E41" s="5" t="s">
        <v>89</v>
      </c>
      <c r="F41" s="5" t="s">
        <v>90</v>
      </c>
      <c r="G41" s="5" t="s">
        <v>91</v>
      </c>
      <c r="H41" s="5" t="s">
        <v>86</v>
      </c>
      <c r="I41" s="11" t="n">
        <v>2</v>
      </c>
      <c r="J41" s="6" t="n">
        <v>4.99</v>
      </c>
      <c r="K41" s="6" t="n">
        <v>9.98</v>
      </c>
      <c r="L41" s="7" t="n">
        <v>0</v>
      </c>
      <c r="M41" s="6" t="n">
        <v>0</v>
      </c>
      <c r="N41" s="6" t="n">
        <v>0</v>
      </c>
      <c r="O41" s="6" t="n">
        <f aca="false">K41-M41-N41</f>
        <v>9.98</v>
      </c>
      <c r="P41" s="7" t="n">
        <v>0.1</v>
      </c>
      <c r="Q41" s="6" t="n">
        <v>9.07</v>
      </c>
      <c r="R41" s="6" t="n">
        <f aca="false">O41-Q41</f>
        <v>0.91</v>
      </c>
      <c r="S41" s="6" t="n">
        <v>4.6</v>
      </c>
      <c r="T41" s="6" t="n">
        <f aca="false">Q41-S41</f>
        <v>4.47</v>
      </c>
      <c r="U41" s="7" t="n">
        <f aca="false">IF(Q41=0,0,T41/Q41)</f>
        <v>0.492833517089305</v>
      </c>
      <c r="V41" s="5" t="s">
        <v>126</v>
      </c>
      <c r="W41" s="5" t="s">
        <v>156</v>
      </c>
      <c r="X41" s="5" t="s">
        <v>132</v>
      </c>
    </row>
    <row r="42" customFormat="false" ht="15" hidden="false" customHeight="false" outlineLevel="0" collapsed="false">
      <c r="A42" s="2" t="n">
        <v>41</v>
      </c>
      <c r="B42" s="2" t="s">
        <v>208</v>
      </c>
      <c r="C42" s="12" t="n">
        <v>45886</v>
      </c>
      <c r="D42" s="2" t="s">
        <v>139</v>
      </c>
      <c r="E42" s="2" t="s">
        <v>28</v>
      </c>
      <c r="F42" s="2" t="s">
        <v>29</v>
      </c>
      <c r="G42" s="2" t="s">
        <v>30</v>
      </c>
      <c r="H42" s="2" t="s">
        <v>23</v>
      </c>
      <c r="I42" s="9" t="n">
        <v>2</v>
      </c>
      <c r="J42" s="3" t="n">
        <v>289</v>
      </c>
      <c r="K42" s="3" t="n">
        <v>578</v>
      </c>
      <c r="L42" s="4" t="n">
        <v>0</v>
      </c>
      <c r="M42" s="3" t="n">
        <v>0</v>
      </c>
      <c r="N42" s="3" t="n">
        <v>0</v>
      </c>
      <c r="O42" s="3" t="n">
        <f aca="false">K42-M42-N42</f>
        <v>578</v>
      </c>
      <c r="P42" s="4" t="n">
        <v>0.21</v>
      </c>
      <c r="Q42" s="3" t="n">
        <v>477.69</v>
      </c>
      <c r="R42" s="3" t="n">
        <f aca="false">O42-Q42</f>
        <v>100.31</v>
      </c>
      <c r="S42" s="3" t="n">
        <v>280</v>
      </c>
      <c r="T42" s="3" t="n">
        <f aca="false">Q42-S42</f>
        <v>197.69</v>
      </c>
      <c r="U42" s="4" t="n">
        <f aca="false">IF(Q42=0,0,T42/Q42)</f>
        <v>0.413845799577132</v>
      </c>
      <c r="V42" s="2" t="s">
        <v>126</v>
      </c>
      <c r="W42" s="2" t="s">
        <v>177</v>
      </c>
      <c r="X42" s="2" t="s">
        <v>132</v>
      </c>
    </row>
    <row r="43" customFormat="false" ht="15" hidden="false" customHeight="false" outlineLevel="0" collapsed="false">
      <c r="A43" s="5" t="n">
        <v>42</v>
      </c>
      <c r="B43" s="5" t="s">
        <v>209</v>
      </c>
      <c r="C43" s="13" t="n">
        <v>45888</v>
      </c>
      <c r="D43" s="5" t="s">
        <v>188</v>
      </c>
      <c r="E43" s="5" t="s">
        <v>49</v>
      </c>
      <c r="F43" s="5" t="s">
        <v>50</v>
      </c>
      <c r="G43" s="5" t="s">
        <v>51</v>
      </c>
      <c r="H43" s="5" t="s">
        <v>52</v>
      </c>
      <c r="I43" s="11" t="n">
        <v>1</v>
      </c>
      <c r="J43" s="6" t="n">
        <v>19.9</v>
      </c>
      <c r="K43" s="6" t="n">
        <v>19.9</v>
      </c>
      <c r="L43" s="7" t="n">
        <v>0</v>
      </c>
      <c r="M43" s="6" t="n">
        <v>0</v>
      </c>
      <c r="N43" s="6" t="n">
        <v>1.99</v>
      </c>
      <c r="O43" s="6" t="n">
        <f aca="false">K43-M43-N43</f>
        <v>17.91</v>
      </c>
      <c r="P43" s="7" t="n">
        <v>0.21</v>
      </c>
      <c r="Q43" s="6" t="n">
        <v>14.8</v>
      </c>
      <c r="R43" s="6" t="n">
        <f aca="false">O43-Q43</f>
        <v>3.11</v>
      </c>
      <c r="S43" s="6" t="n">
        <v>7.9</v>
      </c>
      <c r="T43" s="6" t="n">
        <f aca="false">Q43-S43</f>
        <v>6.9</v>
      </c>
      <c r="U43" s="7" t="n">
        <f aca="false">IF(Q43=0,0,T43/Q43)</f>
        <v>0.466216216216216</v>
      </c>
      <c r="V43" s="5" t="s">
        <v>126</v>
      </c>
      <c r="W43" s="5" t="s">
        <v>154</v>
      </c>
      <c r="X43" s="5" t="s">
        <v>132</v>
      </c>
    </row>
    <row r="44" customFormat="false" ht="15" hidden="false" customHeight="false" outlineLevel="0" collapsed="false">
      <c r="A44" s="2" t="n">
        <v>43</v>
      </c>
      <c r="B44" s="2" t="s">
        <v>210</v>
      </c>
      <c r="C44" s="12" t="n">
        <v>45890</v>
      </c>
      <c r="D44" s="2" t="s">
        <v>158</v>
      </c>
      <c r="E44" s="2" t="s">
        <v>89</v>
      </c>
      <c r="F44" s="2" t="s">
        <v>90</v>
      </c>
      <c r="G44" s="2" t="s">
        <v>91</v>
      </c>
      <c r="H44" s="2" t="s">
        <v>86</v>
      </c>
      <c r="I44" s="9" t="n">
        <v>2</v>
      </c>
      <c r="J44" s="3" t="n">
        <v>4.99</v>
      </c>
      <c r="K44" s="3" t="n">
        <v>9.98</v>
      </c>
      <c r="L44" s="4" t="n">
        <v>0</v>
      </c>
      <c r="M44" s="3" t="n">
        <v>0</v>
      </c>
      <c r="N44" s="3" t="n">
        <v>0</v>
      </c>
      <c r="O44" s="3" t="n">
        <f aca="false">K44-M44-N44</f>
        <v>9.98</v>
      </c>
      <c r="P44" s="4" t="n">
        <v>0.1</v>
      </c>
      <c r="Q44" s="3" t="n">
        <v>9.07</v>
      </c>
      <c r="R44" s="3" t="n">
        <f aca="false">O44-Q44</f>
        <v>0.91</v>
      </c>
      <c r="S44" s="3" t="n">
        <v>4.6</v>
      </c>
      <c r="T44" s="3" t="n">
        <f aca="false">Q44-S44</f>
        <v>4.47</v>
      </c>
      <c r="U44" s="4" t="n">
        <f aca="false">IF(Q44=0,0,T44/Q44)</f>
        <v>0.492833517089305</v>
      </c>
      <c r="V44" s="2" t="s">
        <v>126</v>
      </c>
      <c r="W44" s="2" t="s">
        <v>156</v>
      </c>
      <c r="X44" s="2" t="s">
        <v>132</v>
      </c>
    </row>
    <row r="45" customFormat="false" ht="15" hidden="false" customHeight="false" outlineLevel="0" collapsed="false">
      <c r="A45" s="5" t="n">
        <v>44</v>
      </c>
      <c r="B45" s="5" t="s">
        <v>211</v>
      </c>
      <c r="C45" s="13" t="n">
        <v>45892</v>
      </c>
      <c r="D45" s="5" t="s">
        <v>179</v>
      </c>
      <c r="E45" s="5" t="s">
        <v>69</v>
      </c>
      <c r="F45" s="5" t="s">
        <v>70</v>
      </c>
      <c r="G45" s="5" t="s">
        <v>71</v>
      </c>
      <c r="H45" s="5" t="s">
        <v>72</v>
      </c>
      <c r="I45" s="11" t="n">
        <v>2</v>
      </c>
      <c r="J45" s="6" t="n">
        <v>22.9</v>
      </c>
      <c r="K45" s="6" t="n">
        <v>45.8</v>
      </c>
      <c r="L45" s="7" t="n">
        <v>0.15</v>
      </c>
      <c r="M45" s="6" t="n">
        <v>6.87</v>
      </c>
      <c r="N45" s="6" t="n">
        <v>3.89</v>
      </c>
      <c r="O45" s="6" t="n">
        <f aca="false">K45-M45-N45</f>
        <v>35.04</v>
      </c>
      <c r="P45" s="7" t="n">
        <v>0.21</v>
      </c>
      <c r="Q45" s="6" t="n">
        <v>28.96</v>
      </c>
      <c r="R45" s="6" t="n">
        <f aca="false">O45-Q45</f>
        <v>6.08</v>
      </c>
      <c r="S45" s="6" t="n">
        <v>16</v>
      </c>
      <c r="T45" s="6" t="n">
        <f aca="false">Q45-S45</f>
        <v>12.96</v>
      </c>
      <c r="U45" s="7" t="n">
        <f aca="false">IF(Q45=0,0,T45/Q45)</f>
        <v>0.447513812154696</v>
      </c>
      <c r="V45" s="5" t="s">
        <v>138</v>
      </c>
      <c r="W45" s="5" t="s">
        <v>177</v>
      </c>
      <c r="X45" s="5" t="s">
        <v>132</v>
      </c>
    </row>
    <row r="46" customFormat="false" ht="15" hidden="false" customHeight="false" outlineLevel="0" collapsed="false">
      <c r="A46" s="2" t="n">
        <v>45</v>
      </c>
      <c r="B46" s="2" t="s">
        <v>211</v>
      </c>
      <c r="C46" s="12" t="n">
        <v>45892</v>
      </c>
      <c r="D46" s="2" t="s">
        <v>179</v>
      </c>
      <c r="E46" s="2" t="s">
        <v>81</v>
      </c>
      <c r="F46" s="2" t="s">
        <v>82</v>
      </c>
      <c r="G46" s="2" t="s">
        <v>79</v>
      </c>
      <c r="H46" s="2" t="s">
        <v>80</v>
      </c>
      <c r="I46" s="9" t="n">
        <v>3</v>
      </c>
      <c r="J46" s="3" t="n">
        <v>19.9</v>
      </c>
      <c r="K46" s="3" t="n">
        <v>59.7</v>
      </c>
      <c r="L46" s="4" t="n">
        <v>0.25</v>
      </c>
      <c r="M46" s="3" t="n">
        <v>14.92</v>
      </c>
      <c r="N46" s="3" t="n">
        <v>4.48</v>
      </c>
      <c r="O46" s="3" t="n">
        <f aca="false">K46-M46-N46</f>
        <v>40.3</v>
      </c>
      <c r="P46" s="4" t="n">
        <v>0.21</v>
      </c>
      <c r="Q46" s="3" t="n">
        <v>33.31</v>
      </c>
      <c r="R46" s="3" t="n">
        <f aca="false">O46-Q46</f>
        <v>6.99</v>
      </c>
      <c r="S46" s="3" t="n">
        <v>21</v>
      </c>
      <c r="T46" s="3" t="n">
        <f aca="false">Q46-S46</f>
        <v>12.31</v>
      </c>
      <c r="U46" s="4" t="n">
        <f aca="false">IF(Q46=0,0,T46/Q46)</f>
        <v>0.369558691083759</v>
      </c>
      <c r="V46" s="2" t="s">
        <v>138</v>
      </c>
      <c r="W46" s="2" t="s">
        <v>177</v>
      </c>
      <c r="X46" s="2" t="s">
        <v>132</v>
      </c>
    </row>
    <row r="47" customFormat="false" ht="15" hidden="false" customHeight="false" outlineLevel="0" collapsed="false">
      <c r="A47" s="5" t="n">
        <v>46</v>
      </c>
      <c r="B47" s="5" t="s">
        <v>212</v>
      </c>
      <c r="C47" s="13" t="n">
        <v>45896</v>
      </c>
      <c r="D47" s="5" t="s">
        <v>149</v>
      </c>
      <c r="E47" s="5" t="s">
        <v>73</v>
      </c>
      <c r="F47" s="5" t="s">
        <v>74</v>
      </c>
      <c r="G47" s="5" t="s">
        <v>71</v>
      </c>
      <c r="H47" s="5" t="s">
        <v>72</v>
      </c>
      <c r="I47" s="11" t="n">
        <v>1</v>
      </c>
      <c r="J47" s="6" t="n">
        <v>69.9</v>
      </c>
      <c r="K47" s="6" t="n">
        <v>69.9</v>
      </c>
      <c r="L47" s="7" t="n">
        <v>0</v>
      </c>
      <c r="M47" s="6" t="n">
        <v>0</v>
      </c>
      <c r="N47" s="6" t="n">
        <v>0</v>
      </c>
      <c r="O47" s="6" t="n">
        <f aca="false">K47-M47-N47</f>
        <v>69.9</v>
      </c>
      <c r="P47" s="7" t="n">
        <v>0.21</v>
      </c>
      <c r="Q47" s="6" t="n">
        <v>57.77</v>
      </c>
      <c r="R47" s="6" t="n">
        <f aca="false">O47-Q47</f>
        <v>12.13</v>
      </c>
      <c r="S47" s="6" t="n">
        <v>29</v>
      </c>
      <c r="T47" s="6" t="n">
        <f aca="false">Q47-S47</f>
        <v>28.77</v>
      </c>
      <c r="U47" s="7" t="n">
        <f aca="false">IF(Q47=0,0,T47/Q47)</f>
        <v>0.498009347412152</v>
      </c>
      <c r="V47" s="5" t="s">
        <v>126</v>
      </c>
      <c r="W47" s="5" t="s">
        <v>136</v>
      </c>
      <c r="X47" s="5" t="s">
        <v>132</v>
      </c>
    </row>
    <row r="48" customFormat="false" ht="15" hidden="false" customHeight="false" outlineLevel="0" collapsed="false">
      <c r="A48" s="2" t="n">
        <v>47</v>
      </c>
      <c r="B48" s="2" t="s">
        <v>212</v>
      </c>
      <c r="C48" s="12" t="n">
        <v>45896</v>
      </c>
      <c r="D48" s="2" t="s">
        <v>149</v>
      </c>
      <c r="E48" s="2" t="s">
        <v>55</v>
      </c>
      <c r="F48" s="2" t="s">
        <v>56</v>
      </c>
      <c r="G48" s="2" t="s">
        <v>51</v>
      </c>
      <c r="H48" s="2" t="s">
        <v>52</v>
      </c>
      <c r="I48" s="9" t="n">
        <v>2</v>
      </c>
      <c r="J48" s="3" t="n">
        <v>119</v>
      </c>
      <c r="K48" s="3" t="n">
        <v>238</v>
      </c>
      <c r="L48" s="4" t="n">
        <v>0</v>
      </c>
      <c r="M48" s="3" t="n">
        <v>0</v>
      </c>
      <c r="N48" s="3" t="n">
        <v>0</v>
      </c>
      <c r="O48" s="3" t="n">
        <f aca="false">K48-M48-N48</f>
        <v>238</v>
      </c>
      <c r="P48" s="4" t="n">
        <v>0.21</v>
      </c>
      <c r="Q48" s="3" t="n">
        <v>196.69</v>
      </c>
      <c r="R48" s="3" t="n">
        <f aca="false">O48-Q48</f>
        <v>41.31</v>
      </c>
      <c r="S48" s="3" t="n">
        <v>110</v>
      </c>
      <c r="T48" s="3" t="n">
        <f aca="false">Q48-S48</f>
        <v>86.69</v>
      </c>
      <c r="U48" s="4" t="n">
        <f aca="false">IF(Q48=0,0,T48/Q48)</f>
        <v>0.44074431847069</v>
      </c>
      <c r="V48" s="2" t="s">
        <v>126</v>
      </c>
      <c r="W48" s="2" t="s">
        <v>136</v>
      </c>
      <c r="X48" s="2" t="s">
        <v>132</v>
      </c>
    </row>
    <row r="49" customFormat="false" ht="15" hidden="false" customHeight="false" outlineLevel="0" collapsed="false">
      <c r="A49" s="5" t="n">
        <v>48</v>
      </c>
      <c r="B49" s="5" t="s">
        <v>213</v>
      </c>
      <c r="C49" s="13" t="n">
        <v>45897</v>
      </c>
      <c r="D49" s="5" t="s">
        <v>202</v>
      </c>
      <c r="E49" s="5" t="s">
        <v>55</v>
      </c>
      <c r="F49" s="5" t="s">
        <v>56</v>
      </c>
      <c r="G49" s="5" t="s">
        <v>51</v>
      </c>
      <c r="H49" s="5" t="s">
        <v>52</v>
      </c>
      <c r="I49" s="11" t="n">
        <v>1</v>
      </c>
      <c r="J49" s="6" t="n">
        <v>119</v>
      </c>
      <c r="K49" s="6" t="n">
        <v>119</v>
      </c>
      <c r="L49" s="7" t="n">
        <v>0</v>
      </c>
      <c r="M49" s="6" t="n">
        <v>0</v>
      </c>
      <c r="N49" s="6" t="n">
        <v>17.85</v>
      </c>
      <c r="O49" s="6" t="n">
        <f aca="false">K49-M49-N49</f>
        <v>101.15</v>
      </c>
      <c r="P49" s="7" t="n">
        <v>0.21</v>
      </c>
      <c r="Q49" s="6" t="n">
        <v>83.6</v>
      </c>
      <c r="R49" s="6" t="n">
        <f aca="false">O49-Q49</f>
        <v>17.55</v>
      </c>
      <c r="S49" s="6" t="n">
        <v>55</v>
      </c>
      <c r="T49" s="6" t="n">
        <f aca="false">Q49-S49</f>
        <v>28.6</v>
      </c>
      <c r="U49" s="7" t="n">
        <f aca="false">IF(Q49=0,0,T49/Q49)</f>
        <v>0.342105263157895</v>
      </c>
      <c r="V49" s="5" t="s">
        <v>138</v>
      </c>
      <c r="W49" s="5" t="s">
        <v>154</v>
      </c>
      <c r="X49" s="5" t="s">
        <v>132</v>
      </c>
    </row>
    <row r="50" customFormat="false" ht="15" hidden="false" customHeight="false" outlineLevel="0" collapsed="false">
      <c r="A50" s="2" t="n">
        <v>49</v>
      </c>
      <c r="B50" s="2" t="s">
        <v>214</v>
      </c>
      <c r="C50" s="12" t="n">
        <v>45897</v>
      </c>
      <c r="D50" s="2" t="s">
        <v>149</v>
      </c>
      <c r="E50" s="2" t="s">
        <v>20</v>
      </c>
      <c r="F50" s="2" t="s">
        <v>21</v>
      </c>
      <c r="G50" s="2" t="s">
        <v>22</v>
      </c>
      <c r="H50" s="2" t="s">
        <v>23</v>
      </c>
      <c r="I50" s="9" t="n">
        <v>1</v>
      </c>
      <c r="J50" s="3" t="n">
        <v>799</v>
      </c>
      <c r="K50" s="3" t="n">
        <v>799</v>
      </c>
      <c r="L50" s="4" t="n">
        <v>0</v>
      </c>
      <c r="M50" s="3" t="n">
        <v>0</v>
      </c>
      <c r="N50" s="3" t="n">
        <v>0</v>
      </c>
      <c r="O50" s="3" t="n">
        <f aca="false">K50-M50-N50</f>
        <v>799</v>
      </c>
      <c r="P50" s="4" t="n">
        <v>0.21</v>
      </c>
      <c r="Q50" s="3" t="n">
        <v>660.33</v>
      </c>
      <c r="R50" s="3" t="n">
        <f aca="false">O50-Q50</f>
        <v>138.67</v>
      </c>
      <c r="S50" s="3" t="n">
        <v>550</v>
      </c>
      <c r="T50" s="3" t="n">
        <f aca="false">Q50-S50</f>
        <v>110.33</v>
      </c>
      <c r="U50" s="4" t="n">
        <f aca="false">IF(Q50=0,0,T50/Q50)</f>
        <v>0.167083125104115</v>
      </c>
      <c r="V50" s="2" t="s">
        <v>148</v>
      </c>
      <c r="W50" s="2" t="s">
        <v>177</v>
      </c>
      <c r="X50" s="2" t="s">
        <v>132</v>
      </c>
    </row>
    <row r="51" customFormat="false" ht="15" hidden="false" customHeight="false" outlineLevel="0" collapsed="false">
      <c r="A51" s="5" t="n">
        <v>50</v>
      </c>
      <c r="B51" s="5" t="s">
        <v>214</v>
      </c>
      <c r="C51" s="13" t="n">
        <v>45897</v>
      </c>
      <c r="D51" s="5" t="s">
        <v>149</v>
      </c>
      <c r="E51" s="5" t="s">
        <v>61</v>
      </c>
      <c r="F51" s="5" t="s">
        <v>62</v>
      </c>
      <c r="G51" s="5" t="s">
        <v>59</v>
      </c>
      <c r="H51" s="5" t="s">
        <v>60</v>
      </c>
      <c r="I51" s="11" t="n">
        <v>1</v>
      </c>
      <c r="J51" s="6" t="n">
        <v>18.9</v>
      </c>
      <c r="K51" s="6" t="n">
        <v>18.9</v>
      </c>
      <c r="L51" s="7" t="n">
        <v>0</v>
      </c>
      <c r="M51" s="6" t="n">
        <v>0</v>
      </c>
      <c r="N51" s="6" t="n">
        <v>0</v>
      </c>
      <c r="O51" s="6" t="n">
        <f aca="false">K51-M51-N51</f>
        <v>18.9</v>
      </c>
      <c r="P51" s="7" t="n">
        <v>0.21</v>
      </c>
      <c r="Q51" s="6" t="n">
        <v>15.62</v>
      </c>
      <c r="R51" s="6" t="n">
        <f aca="false">O51-Q51</f>
        <v>3.28</v>
      </c>
      <c r="S51" s="6" t="n">
        <v>6.5</v>
      </c>
      <c r="T51" s="6" t="n">
        <f aca="false">Q51-S51</f>
        <v>9.12</v>
      </c>
      <c r="U51" s="7" t="n">
        <f aca="false">IF(Q51=0,0,T51/Q51)</f>
        <v>0.583866837387964</v>
      </c>
      <c r="V51" s="5" t="s">
        <v>148</v>
      </c>
      <c r="W51" s="5" t="s">
        <v>177</v>
      </c>
      <c r="X51" s="5" t="s">
        <v>132</v>
      </c>
    </row>
    <row r="52" customFormat="false" ht="15" hidden="false" customHeight="false" outlineLevel="0" collapsed="false">
      <c r="A52" s="2" t="n">
        <v>51</v>
      </c>
      <c r="B52" s="2" t="s">
        <v>215</v>
      </c>
      <c r="C52" s="12" t="n">
        <v>45898</v>
      </c>
      <c r="D52" s="2" t="s">
        <v>179</v>
      </c>
      <c r="E52" s="2" t="s">
        <v>61</v>
      </c>
      <c r="F52" s="2" t="s">
        <v>62</v>
      </c>
      <c r="G52" s="2" t="s">
        <v>59</v>
      </c>
      <c r="H52" s="2" t="s">
        <v>60</v>
      </c>
      <c r="I52" s="9" t="n">
        <v>4</v>
      </c>
      <c r="J52" s="3" t="n">
        <v>18.9</v>
      </c>
      <c r="K52" s="3" t="n">
        <v>75.6</v>
      </c>
      <c r="L52" s="4" t="n">
        <v>0</v>
      </c>
      <c r="M52" s="3" t="n">
        <v>0</v>
      </c>
      <c r="N52" s="3" t="n">
        <v>0</v>
      </c>
      <c r="O52" s="3" t="n">
        <f aca="false">K52-M52-N52</f>
        <v>75.6</v>
      </c>
      <c r="P52" s="4" t="n">
        <v>0.21</v>
      </c>
      <c r="Q52" s="3" t="n">
        <v>62.48</v>
      </c>
      <c r="R52" s="3" t="n">
        <f aca="false">O52-Q52</f>
        <v>13.12</v>
      </c>
      <c r="S52" s="3" t="n">
        <v>26</v>
      </c>
      <c r="T52" s="3" t="n">
        <f aca="false">Q52-S52</f>
        <v>36.48</v>
      </c>
      <c r="U52" s="4" t="n">
        <f aca="false">IF(Q52=0,0,T52/Q52)</f>
        <v>0.583866837387964</v>
      </c>
      <c r="V52" s="2" t="s">
        <v>126</v>
      </c>
      <c r="W52" s="2" t="s">
        <v>177</v>
      </c>
      <c r="X52" s="2" t="s">
        <v>132</v>
      </c>
    </row>
    <row r="53" customFormat="false" ht="15" hidden="false" customHeight="false" outlineLevel="0" collapsed="false">
      <c r="A53" s="5" t="n">
        <v>52</v>
      </c>
      <c r="B53" s="5" t="s">
        <v>215</v>
      </c>
      <c r="C53" s="13" t="n">
        <v>45898</v>
      </c>
      <c r="D53" s="5" t="s">
        <v>179</v>
      </c>
      <c r="E53" s="5" t="s">
        <v>83</v>
      </c>
      <c r="F53" s="5" t="s">
        <v>84</v>
      </c>
      <c r="G53" s="5" t="s">
        <v>85</v>
      </c>
      <c r="H53" s="5" t="s">
        <v>86</v>
      </c>
      <c r="I53" s="11" t="n">
        <v>3</v>
      </c>
      <c r="J53" s="6" t="n">
        <v>3.9</v>
      </c>
      <c r="K53" s="6" t="n">
        <v>11.7</v>
      </c>
      <c r="L53" s="7" t="n">
        <v>0.25</v>
      </c>
      <c r="M53" s="6" t="n">
        <v>2.92</v>
      </c>
      <c r="N53" s="6" t="n">
        <v>0</v>
      </c>
      <c r="O53" s="6" t="n">
        <f aca="false">K53-M53-N53</f>
        <v>8.78</v>
      </c>
      <c r="P53" s="7" t="n">
        <v>0.1</v>
      </c>
      <c r="Q53" s="6" t="n">
        <v>7.98</v>
      </c>
      <c r="R53" s="6" t="n">
        <f aca="false">O53-Q53</f>
        <v>0.799999999999999</v>
      </c>
      <c r="S53" s="6" t="n">
        <v>7.5</v>
      </c>
      <c r="T53" s="6" t="n">
        <f aca="false">Q53-S53</f>
        <v>0.48</v>
      </c>
      <c r="U53" s="7" t="n">
        <f aca="false">IF(Q53=0,0,T53/Q53)</f>
        <v>0.0601503759398497</v>
      </c>
      <c r="V53" s="5" t="s">
        <v>126</v>
      </c>
      <c r="W53" s="5" t="s">
        <v>177</v>
      </c>
      <c r="X53" s="5" t="s">
        <v>132</v>
      </c>
    </row>
    <row r="54" customFormat="false" ht="15" hidden="false" customHeight="false" outlineLevel="0" collapsed="false">
      <c r="A54" s="2" t="n">
        <v>53</v>
      </c>
      <c r="B54" s="2" t="s">
        <v>216</v>
      </c>
      <c r="C54" s="12" t="n">
        <v>45901</v>
      </c>
      <c r="D54" s="2" t="s">
        <v>217</v>
      </c>
      <c r="E54" s="2" t="s">
        <v>89</v>
      </c>
      <c r="F54" s="2" t="s">
        <v>90</v>
      </c>
      <c r="G54" s="2" t="s">
        <v>91</v>
      </c>
      <c r="H54" s="2" t="s">
        <v>86</v>
      </c>
      <c r="I54" s="9" t="n">
        <v>2</v>
      </c>
      <c r="J54" s="3" t="n">
        <v>4.99</v>
      </c>
      <c r="K54" s="3" t="n">
        <v>9.98</v>
      </c>
      <c r="L54" s="4" t="n">
        <v>0.05</v>
      </c>
      <c r="M54" s="3" t="n">
        <v>0.5</v>
      </c>
      <c r="N54" s="3" t="n">
        <v>1.42</v>
      </c>
      <c r="O54" s="3" t="n">
        <f aca="false">K54-M54-N54</f>
        <v>8.06</v>
      </c>
      <c r="P54" s="4" t="n">
        <v>0.1</v>
      </c>
      <c r="Q54" s="3" t="n">
        <v>7.33</v>
      </c>
      <c r="R54" s="3" t="n">
        <f aca="false">O54-Q54</f>
        <v>0.73</v>
      </c>
      <c r="S54" s="3" t="n">
        <v>4.6</v>
      </c>
      <c r="T54" s="3" t="n">
        <f aca="false">Q54-S54</f>
        <v>2.73</v>
      </c>
      <c r="U54" s="4" t="n">
        <f aca="false">IF(Q54=0,0,T54/Q54)</f>
        <v>0.372442019099591</v>
      </c>
      <c r="V54" s="2" t="s">
        <v>126</v>
      </c>
      <c r="W54" s="2" t="s">
        <v>156</v>
      </c>
      <c r="X54" s="2" t="s">
        <v>132</v>
      </c>
    </row>
    <row r="55" customFormat="false" ht="15" hidden="false" customHeight="false" outlineLevel="0" collapsed="false">
      <c r="A55" s="5" t="n">
        <v>54</v>
      </c>
      <c r="B55" s="5" t="s">
        <v>221</v>
      </c>
      <c r="C55" s="13" t="n">
        <v>45903</v>
      </c>
      <c r="D55" s="5" t="s">
        <v>173</v>
      </c>
      <c r="E55" s="5" t="s">
        <v>77</v>
      </c>
      <c r="F55" s="5" t="s">
        <v>78</v>
      </c>
      <c r="G55" s="5" t="s">
        <v>79</v>
      </c>
      <c r="H55" s="5" t="s">
        <v>80</v>
      </c>
      <c r="I55" s="11" t="n">
        <v>1</v>
      </c>
      <c r="J55" s="6" t="n">
        <v>59.9</v>
      </c>
      <c r="K55" s="6" t="n">
        <v>59.9</v>
      </c>
      <c r="L55" s="7" t="n">
        <v>0</v>
      </c>
      <c r="M55" s="6" t="n">
        <v>0</v>
      </c>
      <c r="N55" s="6" t="n">
        <v>0</v>
      </c>
      <c r="O55" s="6" t="n">
        <f aca="false">K55-M55-N55</f>
        <v>59.9</v>
      </c>
      <c r="P55" s="7" t="n">
        <v>0.21</v>
      </c>
      <c r="Q55" s="6" t="n">
        <v>49.5</v>
      </c>
      <c r="R55" s="6" t="n">
        <f aca="false">O55-Q55</f>
        <v>10.4</v>
      </c>
      <c r="S55" s="6" t="n">
        <v>24</v>
      </c>
      <c r="T55" s="6" t="n">
        <f aca="false">Q55-S55</f>
        <v>25.5</v>
      </c>
      <c r="U55" s="7" t="n">
        <f aca="false">IF(Q55=0,0,T55/Q55)</f>
        <v>0.515151515151515</v>
      </c>
      <c r="V55" s="5" t="s">
        <v>126</v>
      </c>
      <c r="W55" s="5" t="s">
        <v>136</v>
      </c>
      <c r="X55" s="5" t="s">
        <v>176</v>
      </c>
    </row>
    <row r="56" customFormat="false" ht="15" hidden="false" customHeight="false" outlineLevel="0" collapsed="false">
      <c r="A56" s="2" t="n">
        <v>55</v>
      </c>
      <c r="B56" s="2" t="s">
        <v>222</v>
      </c>
      <c r="C56" s="12" t="n">
        <v>45904</v>
      </c>
      <c r="D56" s="2" t="s">
        <v>223</v>
      </c>
      <c r="E56" s="2" t="s">
        <v>24</v>
      </c>
      <c r="F56" s="2" t="s">
        <v>25</v>
      </c>
      <c r="G56" s="2" t="s">
        <v>22</v>
      </c>
      <c r="H56" s="2" t="s">
        <v>23</v>
      </c>
      <c r="I56" s="9" t="n">
        <v>2</v>
      </c>
      <c r="J56" s="3" t="n">
        <v>24.9</v>
      </c>
      <c r="K56" s="3" t="n">
        <v>49.8</v>
      </c>
      <c r="L56" s="4" t="n">
        <v>0</v>
      </c>
      <c r="M56" s="3" t="n">
        <v>0</v>
      </c>
      <c r="N56" s="3" t="n">
        <v>0</v>
      </c>
      <c r="O56" s="3" t="n">
        <f aca="false">K56-M56-N56</f>
        <v>49.8</v>
      </c>
      <c r="P56" s="4" t="n">
        <v>0.21</v>
      </c>
      <c r="Q56" s="3" t="n">
        <v>41.16</v>
      </c>
      <c r="R56" s="3" t="n">
        <f aca="false">O56-Q56</f>
        <v>8.64</v>
      </c>
      <c r="S56" s="3" t="n">
        <v>19.6</v>
      </c>
      <c r="T56" s="3" t="n">
        <f aca="false">Q56-S56</f>
        <v>21.56</v>
      </c>
      <c r="U56" s="4" t="n">
        <f aca="false">IF(Q56=0,0,T56/Q56)</f>
        <v>0.523809523809524</v>
      </c>
      <c r="V56" s="2" t="s">
        <v>148</v>
      </c>
      <c r="W56" s="2" t="s">
        <v>156</v>
      </c>
      <c r="X56" s="2" t="s">
        <v>132</v>
      </c>
    </row>
    <row r="57" customFormat="false" ht="15" hidden="false" customHeight="false" outlineLevel="0" collapsed="false">
      <c r="A57" s="5" t="n">
        <v>56</v>
      </c>
      <c r="B57" s="5" t="s">
        <v>227</v>
      </c>
      <c r="C57" s="13" t="n">
        <v>45907</v>
      </c>
      <c r="D57" s="5" t="s">
        <v>127</v>
      </c>
      <c r="E57" s="5" t="s">
        <v>96</v>
      </c>
      <c r="F57" s="5" t="s">
        <v>97</v>
      </c>
      <c r="G57" s="5" t="s">
        <v>94</v>
      </c>
      <c r="H57" s="5" t="s">
        <v>95</v>
      </c>
      <c r="I57" s="11" t="n">
        <v>3</v>
      </c>
      <c r="J57" s="6" t="n">
        <v>7.99</v>
      </c>
      <c r="K57" s="6" t="n">
        <v>23.97</v>
      </c>
      <c r="L57" s="7" t="n">
        <v>0.1</v>
      </c>
      <c r="M57" s="6" t="n">
        <v>2.4</v>
      </c>
      <c r="N57" s="6" t="n">
        <v>0</v>
      </c>
      <c r="O57" s="6" t="n">
        <f aca="false">K57-M57-N57</f>
        <v>21.57</v>
      </c>
      <c r="P57" s="7" t="n">
        <v>0.1</v>
      </c>
      <c r="Q57" s="6" t="n">
        <v>19.61</v>
      </c>
      <c r="R57" s="6" t="n">
        <f aca="false">O57-Q57</f>
        <v>1.96</v>
      </c>
      <c r="S57" s="6" t="n">
        <v>10.2</v>
      </c>
      <c r="T57" s="6" t="n">
        <f aca="false">Q57-S57</f>
        <v>9.41</v>
      </c>
      <c r="U57" s="7" t="n">
        <f aca="false">IF(Q57=0,0,T57/Q57)</f>
        <v>0.479857215706272</v>
      </c>
      <c r="V57" s="5" t="s">
        <v>126</v>
      </c>
      <c r="W57" s="5" t="s">
        <v>154</v>
      </c>
      <c r="X57" s="5" t="s">
        <v>132</v>
      </c>
    </row>
    <row r="58" customFormat="false" ht="15" hidden="false" customHeight="false" outlineLevel="0" collapsed="false">
      <c r="A58" s="2" t="n">
        <v>57</v>
      </c>
      <c r="B58" s="2" t="s">
        <v>228</v>
      </c>
      <c r="C58" s="12" t="n">
        <v>45912</v>
      </c>
      <c r="D58" s="2" t="s">
        <v>158</v>
      </c>
      <c r="E58" s="2" t="s">
        <v>96</v>
      </c>
      <c r="F58" s="2" t="s">
        <v>97</v>
      </c>
      <c r="G58" s="2" t="s">
        <v>94</v>
      </c>
      <c r="H58" s="2" t="s">
        <v>95</v>
      </c>
      <c r="I58" s="9" t="n">
        <v>5</v>
      </c>
      <c r="J58" s="3" t="n">
        <v>7.99</v>
      </c>
      <c r="K58" s="3" t="n">
        <v>39.95</v>
      </c>
      <c r="L58" s="4" t="n">
        <v>0</v>
      </c>
      <c r="M58" s="3" t="n">
        <v>0</v>
      </c>
      <c r="N58" s="3" t="n">
        <v>0</v>
      </c>
      <c r="O58" s="3" t="n">
        <f aca="false">K58-M58-N58</f>
        <v>39.95</v>
      </c>
      <c r="P58" s="4" t="n">
        <v>0.1</v>
      </c>
      <c r="Q58" s="3" t="n">
        <v>36.32</v>
      </c>
      <c r="R58" s="3" t="n">
        <f aca="false">O58-Q58</f>
        <v>3.63</v>
      </c>
      <c r="S58" s="3" t="n">
        <v>17</v>
      </c>
      <c r="T58" s="3" t="n">
        <f aca="false">Q58-S58</f>
        <v>19.32</v>
      </c>
      <c r="U58" s="4" t="n">
        <f aca="false">IF(Q58=0,0,T58/Q58)</f>
        <v>0.531938325991189</v>
      </c>
      <c r="V58" s="2" t="s">
        <v>126</v>
      </c>
      <c r="W58" s="2" t="s">
        <v>177</v>
      </c>
      <c r="X58" s="2" t="s">
        <v>132</v>
      </c>
    </row>
    <row r="59" customFormat="false" ht="15" hidden="false" customHeight="false" outlineLevel="0" collapsed="false">
      <c r="A59" s="5" t="n">
        <v>58</v>
      </c>
      <c r="B59" s="5" t="s">
        <v>229</v>
      </c>
      <c r="C59" s="13" t="n">
        <v>45915</v>
      </c>
      <c r="D59" s="5" t="s">
        <v>202</v>
      </c>
      <c r="E59" s="5" t="s">
        <v>24</v>
      </c>
      <c r="F59" s="5" t="s">
        <v>25</v>
      </c>
      <c r="G59" s="5" t="s">
        <v>22</v>
      </c>
      <c r="H59" s="5" t="s">
        <v>23</v>
      </c>
      <c r="I59" s="11" t="n">
        <v>1</v>
      </c>
      <c r="J59" s="6" t="n">
        <v>24.9</v>
      </c>
      <c r="K59" s="6" t="n">
        <v>24.9</v>
      </c>
      <c r="L59" s="7" t="n">
        <v>0</v>
      </c>
      <c r="M59" s="6" t="n">
        <v>0</v>
      </c>
      <c r="N59" s="6" t="n">
        <v>0</v>
      </c>
      <c r="O59" s="6" t="n">
        <f aca="false">K59-M59-N59</f>
        <v>24.9</v>
      </c>
      <c r="P59" s="7" t="n">
        <v>0.21</v>
      </c>
      <c r="Q59" s="6" t="n">
        <v>20.58</v>
      </c>
      <c r="R59" s="6" t="n">
        <f aca="false">O59-Q59</f>
        <v>4.32</v>
      </c>
      <c r="S59" s="6" t="n">
        <v>9.8</v>
      </c>
      <c r="T59" s="6" t="n">
        <f aca="false">Q59-S59</f>
        <v>10.78</v>
      </c>
      <c r="U59" s="7" t="n">
        <f aca="false">IF(Q59=0,0,T59/Q59)</f>
        <v>0.523809523809524</v>
      </c>
      <c r="V59" s="5" t="s">
        <v>126</v>
      </c>
      <c r="W59" s="5" t="s">
        <v>154</v>
      </c>
      <c r="X59" s="5" t="s">
        <v>185</v>
      </c>
    </row>
    <row r="60" customFormat="false" ht="15" hidden="false" customHeight="false" outlineLevel="0" collapsed="false">
      <c r="A60" s="2" t="n">
        <v>59</v>
      </c>
      <c r="B60" s="2" t="s">
        <v>229</v>
      </c>
      <c r="C60" s="12" t="n">
        <v>45915</v>
      </c>
      <c r="D60" s="2" t="s">
        <v>202</v>
      </c>
      <c r="E60" s="2" t="s">
        <v>87</v>
      </c>
      <c r="F60" s="2" t="s">
        <v>88</v>
      </c>
      <c r="G60" s="2" t="s">
        <v>85</v>
      </c>
      <c r="H60" s="2" t="s">
        <v>86</v>
      </c>
      <c r="I60" s="9" t="n">
        <v>2</v>
      </c>
      <c r="J60" s="3" t="n">
        <v>2.49</v>
      </c>
      <c r="K60" s="3" t="n">
        <v>4.98</v>
      </c>
      <c r="L60" s="4" t="n">
        <v>0.15</v>
      </c>
      <c r="M60" s="3" t="n">
        <v>0.75</v>
      </c>
      <c r="N60" s="3" t="n">
        <v>0</v>
      </c>
      <c r="O60" s="3" t="n">
        <f aca="false">K60-M60-N60</f>
        <v>4.23</v>
      </c>
      <c r="P60" s="4" t="n">
        <v>0.1</v>
      </c>
      <c r="Q60" s="3" t="n">
        <v>3.85</v>
      </c>
      <c r="R60" s="3" t="n">
        <f aca="false">O60-Q60</f>
        <v>0.38</v>
      </c>
      <c r="S60" s="3" t="n">
        <v>3</v>
      </c>
      <c r="T60" s="3" t="n">
        <f aca="false">Q60-S60</f>
        <v>0.85</v>
      </c>
      <c r="U60" s="4" t="n">
        <f aca="false">IF(Q60=0,0,T60/Q60)</f>
        <v>0.220779220779221</v>
      </c>
      <c r="V60" s="2" t="s">
        <v>126</v>
      </c>
      <c r="W60" s="2" t="s">
        <v>154</v>
      </c>
      <c r="X60" s="2" t="s">
        <v>185</v>
      </c>
    </row>
    <row r="61" customFormat="false" ht="15" hidden="false" customHeight="false" outlineLevel="0" collapsed="false">
      <c r="A61" s="5" t="n">
        <v>60</v>
      </c>
      <c r="B61" s="5" t="s">
        <v>230</v>
      </c>
      <c r="C61" s="13" t="n">
        <v>45915</v>
      </c>
      <c r="D61" s="5" t="s">
        <v>158</v>
      </c>
      <c r="E61" s="5" t="s">
        <v>98</v>
      </c>
      <c r="F61" s="5" t="s">
        <v>99</v>
      </c>
      <c r="G61" s="5" t="s">
        <v>94</v>
      </c>
      <c r="H61" s="5" t="s">
        <v>95</v>
      </c>
      <c r="I61" s="11" t="n">
        <v>5</v>
      </c>
      <c r="J61" s="6" t="n">
        <v>2.99</v>
      </c>
      <c r="K61" s="6" t="n">
        <v>14.95</v>
      </c>
      <c r="L61" s="7" t="n">
        <v>0</v>
      </c>
      <c r="M61" s="6" t="n">
        <v>0</v>
      </c>
      <c r="N61" s="6" t="n">
        <v>1.5</v>
      </c>
      <c r="O61" s="6" t="n">
        <f aca="false">K61-M61-N61</f>
        <v>13.45</v>
      </c>
      <c r="P61" s="7" t="n">
        <v>0.1</v>
      </c>
      <c r="Q61" s="6" t="n">
        <v>12.23</v>
      </c>
      <c r="R61" s="6" t="n">
        <f aca="false">O61-Q61</f>
        <v>1.22</v>
      </c>
      <c r="S61" s="6" t="n">
        <v>6</v>
      </c>
      <c r="T61" s="6" t="n">
        <f aca="false">Q61-S61</f>
        <v>6.23</v>
      </c>
      <c r="U61" s="7" t="n">
        <f aca="false">IF(Q61=0,0,T61/Q61)</f>
        <v>0.509403107113655</v>
      </c>
      <c r="V61" s="5" t="s">
        <v>138</v>
      </c>
      <c r="W61" s="5" t="s">
        <v>136</v>
      </c>
      <c r="X61" s="5" t="s">
        <v>231</v>
      </c>
    </row>
    <row r="62" customFormat="false" ht="15" hidden="false" customHeight="false" outlineLevel="0" collapsed="false">
      <c r="A62" s="2" t="n">
        <v>61</v>
      </c>
      <c r="B62" s="2" t="s">
        <v>230</v>
      </c>
      <c r="C62" s="12" t="n">
        <v>45915</v>
      </c>
      <c r="D62" s="2" t="s">
        <v>158</v>
      </c>
      <c r="E62" s="2" t="s">
        <v>87</v>
      </c>
      <c r="F62" s="2" t="s">
        <v>88</v>
      </c>
      <c r="G62" s="2" t="s">
        <v>85</v>
      </c>
      <c r="H62" s="2" t="s">
        <v>86</v>
      </c>
      <c r="I62" s="9" t="n">
        <v>3</v>
      </c>
      <c r="J62" s="3" t="n">
        <v>2.49</v>
      </c>
      <c r="K62" s="3" t="n">
        <v>7.47</v>
      </c>
      <c r="L62" s="4" t="n">
        <v>0.1</v>
      </c>
      <c r="M62" s="3" t="n">
        <v>0.75</v>
      </c>
      <c r="N62" s="3" t="n">
        <v>0.67</v>
      </c>
      <c r="O62" s="3" t="n">
        <f aca="false">K62-M62-N62</f>
        <v>6.05</v>
      </c>
      <c r="P62" s="4" t="n">
        <v>0.1</v>
      </c>
      <c r="Q62" s="3" t="n">
        <v>5.5</v>
      </c>
      <c r="R62" s="3" t="n">
        <f aca="false">O62-Q62</f>
        <v>0.55</v>
      </c>
      <c r="S62" s="3" t="n">
        <v>4.5</v>
      </c>
      <c r="T62" s="3" t="n">
        <f aca="false">Q62-S62</f>
        <v>1</v>
      </c>
      <c r="U62" s="4" t="n">
        <f aca="false">IF(Q62=0,0,T62/Q62)</f>
        <v>0.181818181818182</v>
      </c>
      <c r="V62" s="2" t="s">
        <v>138</v>
      </c>
      <c r="W62" s="2" t="s">
        <v>136</v>
      </c>
      <c r="X62" s="2" t="s">
        <v>231</v>
      </c>
    </row>
    <row r="63" customFormat="false" ht="15" hidden="false" customHeight="false" outlineLevel="0" collapsed="false">
      <c r="A63" s="5" t="n">
        <v>62</v>
      </c>
      <c r="B63" s="5" t="s">
        <v>230</v>
      </c>
      <c r="C63" s="13" t="n">
        <v>45915</v>
      </c>
      <c r="D63" s="5" t="s">
        <v>158</v>
      </c>
      <c r="E63" s="5" t="s">
        <v>69</v>
      </c>
      <c r="F63" s="5" t="s">
        <v>70</v>
      </c>
      <c r="G63" s="5" t="s">
        <v>71</v>
      </c>
      <c r="H63" s="5" t="s">
        <v>72</v>
      </c>
      <c r="I63" s="11" t="n">
        <v>2</v>
      </c>
      <c r="J63" s="6" t="n">
        <v>22.9</v>
      </c>
      <c r="K63" s="6" t="n">
        <v>45.8</v>
      </c>
      <c r="L63" s="7" t="n">
        <v>0</v>
      </c>
      <c r="M63" s="6" t="n">
        <v>0</v>
      </c>
      <c r="N63" s="6" t="n">
        <v>4.58</v>
      </c>
      <c r="O63" s="6" t="n">
        <f aca="false">K63-M63-N63</f>
        <v>41.22</v>
      </c>
      <c r="P63" s="7" t="n">
        <v>0.21</v>
      </c>
      <c r="Q63" s="6" t="n">
        <v>34.07</v>
      </c>
      <c r="R63" s="6" t="n">
        <f aca="false">O63-Q63</f>
        <v>7.15</v>
      </c>
      <c r="S63" s="6" t="n">
        <v>16</v>
      </c>
      <c r="T63" s="6" t="n">
        <f aca="false">Q63-S63</f>
        <v>18.07</v>
      </c>
      <c r="U63" s="7" t="n">
        <f aca="false">IF(Q63=0,0,T63/Q63)</f>
        <v>0.530378632227766</v>
      </c>
      <c r="V63" s="5" t="s">
        <v>138</v>
      </c>
      <c r="W63" s="5" t="s">
        <v>136</v>
      </c>
      <c r="X63" s="5" t="s">
        <v>231</v>
      </c>
    </row>
    <row r="64" customFormat="false" ht="15" hidden="false" customHeight="false" outlineLevel="0" collapsed="false">
      <c r="A64" s="2" t="n">
        <v>63</v>
      </c>
      <c r="B64" s="2" t="s">
        <v>232</v>
      </c>
      <c r="C64" s="12" t="n">
        <v>45915</v>
      </c>
      <c r="D64" s="2" t="s">
        <v>188</v>
      </c>
      <c r="E64" s="2" t="s">
        <v>73</v>
      </c>
      <c r="F64" s="2" t="s">
        <v>74</v>
      </c>
      <c r="G64" s="2" t="s">
        <v>71</v>
      </c>
      <c r="H64" s="2" t="s">
        <v>72</v>
      </c>
      <c r="I64" s="9" t="n">
        <v>1</v>
      </c>
      <c r="J64" s="3" t="n">
        <v>69.9</v>
      </c>
      <c r="K64" s="3" t="n">
        <v>69.9</v>
      </c>
      <c r="L64" s="4" t="n">
        <v>0</v>
      </c>
      <c r="M64" s="3" t="n">
        <v>0</v>
      </c>
      <c r="N64" s="3" t="n">
        <v>13.98</v>
      </c>
      <c r="O64" s="3" t="n">
        <f aca="false">K64-M64-N64</f>
        <v>55.92</v>
      </c>
      <c r="P64" s="4" t="n">
        <v>0.21</v>
      </c>
      <c r="Q64" s="3" t="n">
        <v>46.21</v>
      </c>
      <c r="R64" s="3" t="n">
        <f aca="false">O64-Q64</f>
        <v>9.71</v>
      </c>
      <c r="S64" s="3" t="n">
        <v>29</v>
      </c>
      <c r="T64" s="3" t="n">
        <f aca="false">Q64-S64</f>
        <v>17.21</v>
      </c>
      <c r="U64" s="4" t="n">
        <f aca="false">IF(Q64=0,0,T64/Q64)</f>
        <v>0.372430209911275</v>
      </c>
      <c r="V64" s="2" t="s">
        <v>148</v>
      </c>
      <c r="W64" s="2" t="s">
        <v>136</v>
      </c>
      <c r="X64" s="2" t="s">
        <v>132</v>
      </c>
    </row>
    <row r="65" customFormat="false" ht="15" hidden="false" customHeight="false" outlineLevel="0" collapsed="false">
      <c r="A65" s="5" t="n">
        <v>64</v>
      </c>
      <c r="B65" s="5" t="s">
        <v>232</v>
      </c>
      <c r="C65" s="13" t="n">
        <v>45915</v>
      </c>
      <c r="D65" s="5" t="s">
        <v>188</v>
      </c>
      <c r="E65" s="5" t="s">
        <v>31</v>
      </c>
      <c r="F65" s="5" t="s">
        <v>32</v>
      </c>
      <c r="G65" s="5" t="s">
        <v>33</v>
      </c>
      <c r="H65" s="5" t="s">
        <v>23</v>
      </c>
      <c r="I65" s="11" t="n">
        <v>6</v>
      </c>
      <c r="J65" s="6" t="n">
        <v>89.9</v>
      </c>
      <c r="K65" s="6" t="n">
        <v>539.4</v>
      </c>
      <c r="L65" s="7" t="n">
        <v>0</v>
      </c>
      <c r="M65" s="6" t="n">
        <v>0</v>
      </c>
      <c r="N65" s="6" t="n">
        <v>107.88</v>
      </c>
      <c r="O65" s="6" t="n">
        <f aca="false">K65-M65-N65</f>
        <v>431.52</v>
      </c>
      <c r="P65" s="7" t="n">
        <v>0.21</v>
      </c>
      <c r="Q65" s="6" t="n">
        <v>356.63</v>
      </c>
      <c r="R65" s="6" t="n">
        <f aca="false">O65-Q65</f>
        <v>74.89</v>
      </c>
      <c r="S65" s="6" t="n">
        <v>288</v>
      </c>
      <c r="T65" s="6" t="n">
        <f aca="false">Q65-S65</f>
        <v>68.63</v>
      </c>
      <c r="U65" s="7" t="n">
        <f aca="false">IF(Q65=0,0,T65/Q65)</f>
        <v>0.192440344334464</v>
      </c>
      <c r="V65" s="5" t="s">
        <v>148</v>
      </c>
      <c r="W65" s="5" t="s">
        <v>136</v>
      </c>
      <c r="X65" s="5" t="s">
        <v>132</v>
      </c>
    </row>
    <row r="66" customFormat="false" ht="15" hidden="false" customHeight="false" outlineLevel="0" collapsed="false">
      <c r="A66" s="2" t="n">
        <v>65</v>
      </c>
      <c r="B66" s="2" t="s">
        <v>233</v>
      </c>
      <c r="C66" s="12" t="n">
        <v>45917</v>
      </c>
      <c r="D66" s="2" t="s">
        <v>179</v>
      </c>
      <c r="E66" s="2" t="s">
        <v>63</v>
      </c>
      <c r="F66" s="2" t="s">
        <v>64</v>
      </c>
      <c r="G66" s="2" t="s">
        <v>65</v>
      </c>
      <c r="H66" s="2" t="s">
        <v>66</v>
      </c>
      <c r="I66" s="9" t="n">
        <v>1</v>
      </c>
      <c r="J66" s="3" t="n">
        <v>139</v>
      </c>
      <c r="K66" s="3" t="n">
        <v>139</v>
      </c>
      <c r="L66" s="4" t="n">
        <v>0.05</v>
      </c>
      <c r="M66" s="3" t="n">
        <v>6.95</v>
      </c>
      <c r="N66" s="3" t="n">
        <v>13.2</v>
      </c>
      <c r="O66" s="3" t="n">
        <f aca="false">K66-M66-N66</f>
        <v>118.85</v>
      </c>
      <c r="P66" s="4" t="n">
        <v>0.21</v>
      </c>
      <c r="Q66" s="3" t="n">
        <v>98.22</v>
      </c>
      <c r="R66" s="3" t="n">
        <f aca="false">O66-Q66</f>
        <v>20.63</v>
      </c>
      <c r="S66" s="3" t="n">
        <v>62</v>
      </c>
      <c r="T66" s="3" t="n">
        <f aca="false">Q66-S66</f>
        <v>36.22</v>
      </c>
      <c r="U66" s="4" t="n">
        <f aca="false">IF(Q66=0,0,T66/Q66)</f>
        <v>0.368763999185502</v>
      </c>
      <c r="V66" s="2" t="s">
        <v>138</v>
      </c>
      <c r="W66" s="2" t="s">
        <v>177</v>
      </c>
      <c r="X66" s="2" t="s">
        <v>132</v>
      </c>
    </row>
    <row r="67" customFormat="false" ht="15" hidden="false" customHeight="false" outlineLevel="0" collapsed="false">
      <c r="A67" s="5" t="n">
        <v>66</v>
      </c>
      <c r="B67" s="5" t="s">
        <v>234</v>
      </c>
      <c r="C67" s="13" t="n">
        <v>45918</v>
      </c>
      <c r="D67" s="5" t="s">
        <v>158</v>
      </c>
      <c r="E67" s="5" t="s">
        <v>98</v>
      </c>
      <c r="F67" s="5" t="s">
        <v>99</v>
      </c>
      <c r="G67" s="5" t="s">
        <v>94</v>
      </c>
      <c r="H67" s="5" t="s">
        <v>95</v>
      </c>
      <c r="I67" s="11" t="n">
        <v>3</v>
      </c>
      <c r="J67" s="6" t="n">
        <v>2.99</v>
      </c>
      <c r="K67" s="6" t="n">
        <v>8.97</v>
      </c>
      <c r="L67" s="7" t="n">
        <v>0.1</v>
      </c>
      <c r="M67" s="6" t="n">
        <v>0.9</v>
      </c>
      <c r="N67" s="6" t="n">
        <v>1.21</v>
      </c>
      <c r="O67" s="6" t="n">
        <f aca="false">K67-M67-N67</f>
        <v>6.86</v>
      </c>
      <c r="P67" s="7" t="n">
        <v>0.1</v>
      </c>
      <c r="Q67" s="6" t="n">
        <v>6.24</v>
      </c>
      <c r="R67" s="6" t="n">
        <f aca="false">O67-Q67</f>
        <v>0.62</v>
      </c>
      <c r="S67" s="6" t="n">
        <v>3.6</v>
      </c>
      <c r="T67" s="6" t="n">
        <f aca="false">Q67-S67</f>
        <v>2.64</v>
      </c>
      <c r="U67" s="7" t="n">
        <f aca="false">IF(Q67=0,0,T67/Q67)</f>
        <v>0.423076923076923</v>
      </c>
      <c r="V67" s="5" t="s">
        <v>126</v>
      </c>
      <c r="W67" s="5" t="s">
        <v>156</v>
      </c>
      <c r="X67" s="5" t="s">
        <v>132</v>
      </c>
    </row>
    <row r="68" customFormat="false" ht="15" hidden="false" customHeight="false" outlineLevel="0" collapsed="false">
      <c r="A68" s="2" t="n">
        <v>67</v>
      </c>
      <c r="B68" s="2" t="s">
        <v>235</v>
      </c>
      <c r="C68" s="12" t="n">
        <v>45918</v>
      </c>
      <c r="D68" s="2" t="s">
        <v>202</v>
      </c>
      <c r="E68" s="2" t="s">
        <v>83</v>
      </c>
      <c r="F68" s="2" t="s">
        <v>84</v>
      </c>
      <c r="G68" s="2" t="s">
        <v>85</v>
      </c>
      <c r="H68" s="2" t="s">
        <v>86</v>
      </c>
      <c r="I68" s="9" t="n">
        <v>2</v>
      </c>
      <c r="J68" s="3" t="n">
        <v>3.9</v>
      </c>
      <c r="K68" s="3" t="n">
        <v>7.8</v>
      </c>
      <c r="L68" s="4" t="n">
        <v>0.1</v>
      </c>
      <c r="M68" s="3" t="n">
        <v>0.78</v>
      </c>
      <c r="N68" s="3" t="n">
        <v>0</v>
      </c>
      <c r="O68" s="3" t="n">
        <f aca="false">K68-M68-N68</f>
        <v>7.02</v>
      </c>
      <c r="P68" s="4" t="n">
        <v>0.1</v>
      </c>
      <c r="Q68" s="3" t="n">
        <v>6.38</v>
      </c>
      <c r="R68" s="3" t="n">
        <f aca="false">O68-Q68</f>
        <v>0.64</v>
      </c>
      <c r="S68" s="3" t="n">
        <v>5</v>
      </c>
      <c r="T68" s="3" t="n">
        <f aca="false">Q68-S68</f>
        <v>1.38</v>
      </c>
      <c r="U68" s="4" t="n">
        <f aca="false">IF(Q68=0,0,T68/Q68)</f>
        <v>0.216300940438871</v>
      </c>
      <c r="V68" s="2" t="s">
        <v>126</v>
      </c>
      <c r="W68" s="2" t="s">
        <v>177</v>
      </c>
      <c r="X68" s="2" t="s">
        <v>132</v>
      </c>
    </row>
    <row r="69" customFormat="false" ht="15" hidden="false" customHeight="false" outlineLevel="0" collapsed="false">
      <c r="A69" s="5" t="n">
        <v>68</v>
      </c>
      <c r="B69" s="5" t="s">
        <v>235</v>
      </c>
      <c r="C69" s="13" t="n">
        <v>45918</v>
      </c>
      <c r="D69" s="5" t="s">
        <v>202</v>
      </c>
      <c r="E69" s="5" t="s">
        <v>92</v>
      </c>
      <c r="F69" s="5" t="s">
        <v>93</v>
      </c>
      <c r="G69" s="5" t="s">
        <v>94</v>
      </c>
      <c r="H69" s="5" t="s">
        <v>95</v>
      </c>
      <c r="I69" s="11" t="n">
        <v>5</v>
      </c>
      <c r="J69" s="6" t="n">
        <v>4.49</v>
      </c>
      <c r="K69" s="6" t="n">
        <v>22.45</v>
      </c>
      <c r="L69" s="7" t="n">
        <v>0</v>
      </c>
      <c r="M69" s="6" t="n">
        <v>0</v>
      </c>
      <c r="N69" s="6" t="n">
        <v>0</v>
      </c>
      <c r="O69" s="6" t="n">
        <f aca="false">K69-M69-N69</f>
        <v>22.45</v>
      </c>
      <c r="P69" s="7" t="n">
        <v>0.1</v>
      </c>
      <c r="Q69" s="6" t="n">
        <v>20.41</v>
      </c>
      <c r="R69" s="6" t="n">
        <f aca="false">O69-Q69</f>
        <v>2.04</v>
      </c>
      <c r="S69" s="6" t="n">
        <v>10.5</v>
      </c>
      <c r="T69" s="6" t="n">
        <f aca="false">Q69-S69</f>
        <v>9.91</v>
      </c>
      <c r="U69" s="7" t="n">
        <f aca="false">IF(Q69=0,0,T69/Q69)</f>
        <v>0.485546300832925</v>
      </c>
      <c r="V69" s="5" t="s">
        <v>126</v>
      </c>
      <c r="W69" s="5" t="s">
        <v>177</v>
      </c>
      <c r="X69" s="5" t="s">
        <v>132</v>
      </c>
    </row>
    <row r="70" customFormat="false" ht="15" hidden="false" customHeight="false" outlineLevel="0" collapsed="false">
      <c r="A70" s="2" t="n">
        <v>69</v>
      </c>
      <c r="B70" s="2" t="s">
        <v>236</v>
      </c>
      <c r="C70" s="12" t="n">
        <v>45921</v>
      </c>
      <c r="D70" s="2" t="s">
        <v>217</v>
      </c>
      <c r="E70" s="2" t="s">
        <v>34</v>
      </c>
      <c r="F70" s="2" t="s">
        <v>35</v>
      </c>
      <c r="G70" s="2" t="s">
        <v>30</v>
      </c>
      <c r="H70" s="2" t="s">
        <v>23</v>
      </c>
      <c r="I70" s="9" t="n">
        <v>1</v>
      </c>
      <c r="J70" s="3" t="n">
        <v>44.9</v>
      </c>
      <c r="K70" s="3" t="n">
        <v>44.9</v>
      </c>
      <c r="L70" s="4" t="n">
        <v>0</v>
      </c>
      <c r="M70" s="3" t="n">
        <v>0</v>
      </c>
      <c r="N70" s="3" t="n">
        <v>0</v>
      </c>
      <c r="O70" s="3" t="n">
        <f aca="false">K70-M70-N70</f>
        <v>44.9</v>
      </c>
      <c r="P70" s="4" t="n">
        <v>0.21</v>
      </c>
      <c r="Q70" s="3" t="n">
        <v>37.11</v>
      </c>
      <c r="R70" s="3" t="n">
        <f aca="false">O70-Q70</f>
        <v>7.79</v>
      </c>
      <c r="S70" s="3" t="n">
        <v>19</v>
      </c>
      <c r="T70" s="3" t="n">
        <f aca="false">Q70-S70</f>
        <v>18.11</v>
      </c>
      <c r="U70" s="4" t="n">
        <f aca="false">IF(Q70=0,0,T70/Q70)</f>
        <v>0.488008623012665</v>
      </c>
      <c r="V70" s="2" t="s">
        <v>126</v>
      </c>
      <c r="W70" s="2" t="s">
        <v>154</v>
      </c>
      <c r="X70" s="2" t="s">
        <v>132</v>
      </c>
    </row>
    <row r="71" customFormat="false" ht="15" hidden="false" customHeight="false" outlineLevel="0" collapsed="false">
      <c r="A71" s="5" t="n">
        <v>70</v>
      </c>
      <c r="B71" s="5" t="s">
        <v>237</v>
      </c>
      <c r="C71" s="13" t="n">
        <v>45922</v>
      </c>
      <c r="D71" s="5" t="s">
        <v>173</v>
      </c>
      <c r="E71" s="5" t="s">
        <v>96</v>
      </c>
      <c r="F71" s="5" t="s">
        <v>97</v>
      </c>
      <c r="G71" s="5" t="s">
        <v>94</v>
      </c>
      <c r="H71" s="5" t="s">
        <v>95</v>
      </c>
      <c r="I71" s="11" t="n">
        <v>12</v>
      </c>
      <c r="J71" s="6" t="n">
        <v>7.99</v>
      </c>
      <c r="K71" s="6" t="n">
        <v>95.88</v>
      </c>
      <c r="L71" s="7" t="n">
        <v>0</v>
      </c>
      <c r="M71" s="6" t="n">
        <v>0</v>
      </c>
      <c r="N71" s="6" t="n">
        <v>0</v>
      </c>
      <c r="O71" s="6" t="n">
        <f aca="false">K71-M71-N71</f>
        <v>95.88</v>
      </c>
      <c r="P71" s="7" t="n">
        <v>0.1</v>
      </c>
      <c r="Q71" s="6" t="n">
        <v>87.16</v>
      </c>
      <c r="R71" s="6" t="n">
        <f aca="false">O71-Q71</f>
        <v>8.72</v>
      </c>
      <c r="S71" s="6" t="n">
        <v>40.8</v>
      </c>
      <c r="T71" s="6" t="n">
        <f aca="false">Q71-S71</f>
        <v>46.36</v>
      </c>
      <c r="U71" s="7" t="n">
        <f aca="false">IF(Q71=0,0,T71/Q71)</f>
        <v>0.53189536484626</v>
      </c>
      <c r="V71" s="5" t="s">
        <v>126</v>
      </c>
      <c r="W71" s="5" t="s">
        <v>136</v>
      </c>
      <c r="X71" s="5" t="s">
        <v>231</v>
      </c>
    </row>
    <row r="72" customFormat="false" ht="15" hidden="false" customHeight="false" outlineLevel="0" collapsed="false">
      <c r="A72" s="2" t="n">
        <v>71</v>
      </c>
      <c r="B72" s="2" t="s">
        <v>237</v>
      </c>
      <c r="C72" s="12" t="n">
        <v>45922</v>
      </c>
      <c r="D72" s="2" t="s">
        <v>173</v>
      </c>
      <c r="E72" s="2" t="s">
        <v>92</v>
      </c>
      <c r="F72" s="2" t="s">
        <v>93</v>
      </c>
      <c r="G72" s="2" t="s">
        <v>94</v>
      </c>
      <c r="H72" s="2" t="s">
        <v>95</v>
      </c>
      <c r="I72" s="9" t="n">
        <v>3</v>
      </c>
      <c r="J72" s="3" t="n">
        <v>4.49</v>
      </c>
      <c r="K72" s="3" t="n">
        <v>13.47</v>
      </c>
      <c r="L72" s="4" t="n">
        <v>0</v>
      </c>
      <c r="M72" s="3" t="n">
        <v>0</v>
      </c>
      <c r="N72" s="3" t="n">
        <v>0</v>
      </c>
      <c r="O72" s="3" t="n">
        <f aca="false">K72-M72-N72</f>
        <v>13.47</v>
      </c>
      <c r="P72" s="4" t="n">
        <v>0.1</v>
      </c>
      <c r="Q72" s="3" t="n">
        <v>12.25</v>
      </c>
      <c r="R72" s="3" t="n">
        <f aca="false">O72-Q72</f>
        <v>1.22</v>
      </c>
      <c r="S72" s="3" t="n">
        <v>6.3</v>
      </c>
      <c r="T72" s="3" t="n">
        <f aca="false">Q72-S72</f>
        <v>5.95</v>
      </c>
      <c r="U72" s="4" t="n">
        <f aca="false">IF(Q72=0,0,T72/Q72)</f>
        <v>0.485714285714286</v>
      </c>
      <c r="V72" s="2" t="s">
        <v>126</v>
      </c>
      <c r="W72" s="2" t="s">
        <v>136</v>
      </c>
      <c r="X72" s="2" t="s">
        <v>231</v>
      </c>
    </row>
    <row r="73" customFormat="false" ht="15" hidden="false" customHeight="false" outlineLevel="0" collapsed="false">
      <c r="A73" s="5" t="n">
        <v>72</v>
      </c>
      <c r="B73" s="5" t="s">
        <v>237</v>
      </c>
      <c r="C73" s="13" t="n">
        <v>45922</v>
      </c>
      <c r="D73" s="5" t="s">
        <v>173</v>
      </c>
      <c r="E73" s="5" t="s">
        <v>24</v>
      </c>
      <c r="F73" s="5" t="s">
        <v>25</v>
      </c>
      <c r="G73" s="5" t="s">
        <v>22</v>
      </c>
      <c r="H73" s="5" t="s">
        <v>23</v>
      </c>
      <c r="I73" s="11" t="n">
        <v>1</v>
      </c>
      <c r="J73" s="6" t="n">
        <v>24.9</v>
      </c>
      <c r="K73" s="6" t="n">
        <v>24.9</v>
      </c>
      <c r="L73" s="7" t="n">
        <v>0</v>
      </c>
      <c r="M73" s="6" t="n">
        <v>0</v>
      </c>
      <c r="N73" s="6" t="n">
        <v>0</v>
      </c>
      <c r="O73" s="6" t="n">
        <f aca="false">K73-M73-N73</f>
        <v>24.9</v>
      </c>
      <c r="P73" s="7" t="n">
        <v>0.21</v>
      </c>
      <c r="Q73" s="6" t="n">
        <v>20.58</v>
      </c>
      <c r="R73" s="6" t="n">
        <f aca="false">O73-Q73</f>
        <v>4.32</v>
      </c>
      <c r="S73" s="6" t="n">
        <v>9.8</v>
      </c>
      <c r="T73" s="6" t="n">
        <f aca="false">Q73-S73</f>
        <v>10.78</v>
      </c>
      <c r="U73" s="7" t="n">
        <f aca="false">IF(Q73=0,0,T73/Q73)</f>
        <v>0.523809523809524</v>
      </c>
      <c r="V73" s="5" t="s">
        <v>126</v>
      </c>
      <c r="W73" s="5" t="s">
        <v>136</v>
      </c>
      <c r="X73" s="5" t="s">
        <v>231</v>
      </c>
    </row>
    <row r="74" customFormat="false" ht="15" hidden="false" customHeight="false" outlineLevel="0" collapsed="false">
      <c r="A74" s="2" t="n">
        <v>73</v>
      </c>
      <c r="B74" s="2" t="s">
        <v>238</v>
      </c>
      <c r="C74" s="12" t="n">
        <v>45923</v>
      </c>
      <c r="D74" s="2" t="s">
        <v>188</v>
      </c>
      <c r="E74" s="2" t="s">
        <v>16</v>
      </c>
      <c r="F74" s="2" t="s">
        <v>17</v>
      </c>
      <c r="G74" s="2" t="s">
        <v>13</v>
      </c>
      <c r="H74" s="2" t="s">
        <v>14</v>
      </c>
      <c r="I74" s="9" t="n">
        <v>2</v>
      </c>
      <c r="J74" s="3" t="n">
        <v>54.9</v>
      </c>
      <c r="K74" s="3" t="n">
        <v>109.8</v>
      </c>
      <c r="L74" s="4" t="n">
        <v>0</v>
      </c>
      <c r="M74" s="3" t="n">
        <v>0</v>
      </c>
      <c r="N74" s="3" t="n">
        <v>0</v>
      </c>
      <c r="O74" s="3" t="n">
        <f aca="false">K74-M74-N74</f>
        <v>109.8</v>
      </c>
      <c r="P74" s="4" t="n">
        <v>0.21</v>
      </c>
      <c r="Q74" s="3" t="n">
        <v>90.74</v>
      </c>
      <c r="R74" s="3" t="n">
        <f aca="false">O74-Q74</f>
        <v>19.06</v>
      </c>
      <c r="S74" s="3" t="n">
        <v>44</v>
      </c>
      <c r="T74" s="3" t="n">
        <f aca="false">Q74-S74</f>
        <v>46.74</v>
      </c>
      <c r="U74" s="4" t="n">
        <f aca="false">IF(Q74=0,0,T74/Q74)</f>
        <v>0.515098082433326</v>
      </c>
      <c r="V74" s="2" t="s">
        <v>126</v>
      </c>
      <c r="W74" s="2" t="s">
        <v>177</v>
      </c>
      <c r="X74" s="2" t="s">
        <v>132</v>
      </c>
    </row>
    <row r="75" customFormat="false" ht="15" hidden="false" customHeight="false" outlineLevel="0" collapsed="false">
      <c r="A75" s="5" t="n">
        <v>74</v>
      </c>
      <c r="B75" s="5" t="s">
        <v>238</v>
      </c>
      <c r="C75" s="13" t="n">
        <v>45923</v>
      </c>
      <c r="D75" s="5" t="s">
        <v>188</v>
      </c>
      <c r="E75" s="5" t="s">
        <v>28</v>
      </c>
      <c r="F75" s="5" t="s">
        <v>29</v>
      </c>
      <c r="G75" s="5" t="s">
        <v>30</v>
      </c>
      <c r="H75" s="5" t="s">
        <v>23</v>
      </c>
      <c r="I75" s="11" t="n">
        <v>1</v>
      </c>
      <c r="J75" s="6" t="n">
        <v>289</v>
      </c>
      <c r="K75" s="6" t="n">
        <v>289</v>
      </c>
      <c r="L75" s="7" t="n">
        <v>0.15</v>
      </c>
      <c r="M75" s="6" t="n">
        <v>43.35</v>
      </c>
      <c r="N75" s="6" t="n">
        <v>0</v>
      </c>
      <c r="O75" s="6" t="n">
        <f aca="false">K75-M75-N75</f>
        <v>245.65</v>
      </c>
      <c r="P75" s="7" t="n">
        <v>0.21</v>
      </c>
      <c r="Q75" s="6" t="n">
        <v>203.02</v>
      </c>
      <c r="R75" s="6" t="n">
        <f aca="false">O75-Q75</f>
        <v>42.63</v>
      </c>
      <c r="S75" s="6" t="n">
        <v>140</v>
      </c>
      <c r="T75" s="6" t="n">
        <f aca="false">Q75-S75</f>
        <v>63.02</v>
      </c>
      <c r="U75" s="7" t="n">
        <f aca="false">IF(Q75=0,0,T75/Q75)</f>
        <v>0.310412767215053</v>
      </c>
      <c r="V75" s="5" t="s">
        <v>126</v>
      </c>
      <c r="W75" s="5" t="s">
        <v>177</v>
      </c>
      <c r="X75" s="5" t="s">
        <v>132</v>
      </c>
    </row>
    <row r="76" customFormat="false" ht="15" hidden="false" customHeight="false" outlineLevel="0" collapsed="false">
      <c r="A76" s="2" t="n">
        <v>75</v>
      </c>
      <c r="B76" s="2" t="s">
        <v>239</v>
      </c>
      <c r="C76" s="12" t="n">
        <v>45926</v>
      </c>
      <c r="D76" s="2" t="s">
        <v>179</v>
      </c>
      <c r="E76" s="2" t="s">
        <v>83</v>
      </c>
      <c r="F76" s="2" t="s">
        <v>84</v>
      </c>
      <c r="G76" s="2" t="s">
        <v>85</v>
      </c>
      <c r="H76" s="2" t="s">
        <v>86</v>
      </c>
      <c r="I76" s="9" t="n">
        <v>1</v>
      </c>
      <c r="J76" s="3" t="n">
        <v>3.9</v>
      </c>
      <c r="K76" s="3" t="n">
        <v>3.9</v>
      </c>
      <c r="L76" s="4" t="n">
        <v>0</v>
      </c>
      <c r="M76" s="3" t="n">
        <v>0</v>
      </c>
      <c r="N76" s="3" t="n">
        <v>0</v>
      </c>
      <c r="O76" s="3" t="n">
        <f aca="false">K76-M76-N76</f>
        <v>3.9</v>
      </c>
      <c r="P76" s="4" t="n">
        <v>0.1</v>
      </c>
      <c r="Q76" s="3" t="n">
        <v>3.55</v>
      </c>
      <c r="R76" s="3" t="n">
        <f aca="false">O76-Q76</f>
        <v>0.35</v>
      </c>
      <c r="S76" s="3" t="n">
        <v>2.5</v>
      </c>
      <c r="T76" s="3" t="n">
        <f aca="false">Q76-S76</f>
        <v>1.05</v>
      </c>
      <c r="U76" s="4" t="n">
        <f aca="false">IF(Q76=0,0,T76/Q76)</f>
        <v>0.295774647887324</v>
      </c>
      <c r="V76" s="2" t="s">
        <v>126</v>
      </c>
      <c r="W76" s="2" t="s">
        <v>136</v>
      </c>
      <c r="X76" s="2" t="s">
        <v>132</v>
      </c>
    </row>
    <row r="77" customFormat="false" ht="15" hidden="false" customHeight="false" outlineLevel="0" collapsed="false">
      <c r="A77" s="5" t="n">
        <v>76</v>
      </c>
      <c r="B77" s="5" t="s">
        <v>240</v>
      </c>
      <c r="C77" s="13" t="n">
        <v>45926</v>
      </c>
      <c r="D77" s="5" t="s">
        <v>179</v>
      </c>
      <c r="E77" s="5" t="s">
        <v>20</v>
      </c>
      <c r="F77" s="5" t="s">
        <v>21</v>
      </c>
      <c r="G77" s="5" t="s">
        <v>22</v>
      </c>
      <c r="H77" s="5" t="s">
        <v>23</v>
      </c>
      <c r="I77" s="11" t="n">
        <v>1</v>
      </c>
      <c r="J77" s="6" t="n">
        <v>799</v>
      </c>
      <c r="K77" s="6" t="n">
        <v>799</v>
      </c>
      <c r="L77" s="7" t="n">
        <v>0</v>
      </c>
      <c r="M77" s="6" t="n">
        <v>0</v>
      </c>
      <c r="N77" s="6" t="n">
        <v>0</v>
      </c>
      <c r="O77" s="6" t="n">
        <f aca="false">K77-M77-N77</f>
        <v>799</v>
      </c>
      <c r="P77" s="7" t="n">
        <v>0.21</v>
      </c>
      <c r="Q77" s="6" t="n">
        <v>660.33</v>
      </c>
      <c r="R77" s="6" t="n">
        <f aca="false">O77-Q77</f>
        <v>138.67</v>
      </c>
      <c r="S77" s="6" t="n">
        <v>550</v>
      </c>
      <c r="T77" s="6" t="n">
        <f aca="false">Q77-S77</f>
        <v>110.33</v>
      </c>
      <c r="U77" s="7" t="n">
        <f aca="false">IF(Q77=0,0,T77/Q77)</f>
        <v>0.167083125104115</v>
      </c>
      <c r="V77" s="5" t="s">
        <v>126</v>
      </c>
      <c r="W77" s="5" t="s">
        <v>156</v>
      </c>
      <c r="X77" s="5" t="s">
        <v>132</v>
      </c>
    </row>
    <row r="78" customFormat="false" ht="15" hidden="false" customHeight="false" outlineLevel="0" collapsed="false">
      <c r="A78" s="2" t="n">
        <v>77</v>
      </c>
      <c r="B78" s="2" t="s">
        <v>240</v>
      </c>
      <c r="C78" s="12" t="n">
        <v>45926</v>
      </c>
      <c r="D78" s="2" t="s">
        <v>179</v>
      </c>
      <c r="E78" s="2" t="s">
        <v>40</v>
      </c>
      <c r="F78" s="2" t="s">
        <v>41</v>
      </c>
      <c r="G78" s="2" t="s">
        <v>38</v>
      </c>
      <c r="H78" s="2" t="s">
        <v>39</v>
      </c>
      <c r="I78" s="9" t="n">
        <v>2</v>
      </c>
      <c r="J78" s="3" t="n">
        <v>12.9</v>
      </c>
      <c r="K78" s="3" t="n">
        <v>25.8</v>
      </c>
      <c r="L78" s="4" t="n">
        <v>0</v>
      </c>
      <c r="M78" s="3" t="n">
        <v>0</v>
      </c>
      <c r="N78" s="3" t="n">
        <v>0</v>
      </c>
      <c r="O78" s="3" t="n">
        <f aca="false">K78-M78-N78</f>
        <v>25.8</v>
      </c>
      <c r="P78" s="4" t="n">
        <v>0.21</v>
      </c>
      <c r="Q78" s="3" t="n">
        <v>21.32</v>
      </c>
      <c r="R78" s="3" t="n">
        <f aca="false">O78-Q78</f>
        <v>4.48</v>
      </c>
      <c r="S78" s="3" t="n">
        <v>4.2</v>
      </c>
      <c r="T78" s="3" t="n">
        <f aca="false">Q78-S78</f>
        <v>17.12</v>
      </c>
      <c r="U78" s="4" t="n">
        <f aca="false">IF(Q78=0,0,T78/Q78)</f>
        <v>0.803001876172608</v>
      </c>
      <c r="V78" s="2" t="s">
        <v>126</v>
      </c>
      <c r="W78" s="2" t="s">
        <v>156</v>
      </c>
      <c r="X78" s="2" t="s">
        <v>132</v>
      </c>
    </row>
    <row r="79" customFormat="false" ht="15" hidden="false" customHeight="false" outlineLevel="0" collapsed="false">
      <c r="A79" s="5" t="n">
        <v>78</v>
      </c>
      <c r="B79" s="5" t="s">
        <v>241</v>
      </c>
      <c r="C79" s="13" t="n">
        <v>45926</v>
      </c>
      <c r="D79" s="5" t="s">
        <v>139</v>
      </c>
      <c r="E79" s="5" t="s">
        <v>89</v>
      </c>
      <c r="F79" s="5" t="s">
        <v>90</v>
      </c>
      <c r="G79" s="5" t="s">
        <v>91</v>
      </c>
      <c r="H79" s="5" t="s">
        <v>86</v>
      </c>
      <c r="I79" s="11" t="n">
        <v>5</v>
      </c>
      <c r="J79" s="6" t="n">
        <v>4.99</v>
      </c>
      <c r="K79" s="6" t="n">
        <v>24.95</v>
      </c>
      <c r="L79" s="7" t="n">
        <v>0</v>
      </c>
      <c r="M79" s="6" t="n">
        <v>0</v>
      </c>
      <c r="N79" s="6" t="n">
        <v>0</v>
      </c>
      <c r="O79" s="6" t="n">
        <f aca="false">K79-M79-N79</f>
        <v>24.95</v>
      </c>
      <c r="P79" s="7" t="n">
        <v>0.1</v>
      </c>
      <c r="Q79" s="6" t="n">
        <v>22.68</v>
      </c>
      <c r="R79" s="6" t="n">
        <f aca="false">O79-Q79</f>
        <v>2.27</v>
      </c>
      <c r="S79" s="6" t="n">
        <v>11.5</v>
      </c>
      <c r="T79" s="6" t="n">
        <f aca="false">Q79-S79</f>
        <v>11.18</v>
      </c>
      <c r="U79" s="7" t="n">
        <f aca="false">IF(Q79=0,0,T79/Q79)</f>
        <v>0.49294532627866</v>
      </c>
      <c r="V79" s="5" t="s">
        <v>126</v>
      </c>
      <c r="W79" s="5" t="s">
        <v>156</v>
      </c>
      <c r="X79" s="5" t="s">
        <v>132</v>
      </c>
    </row>
    <row r="80" customFormat="false" ht="15" hidden="false" customHeight="false" outlineLevel="0" collapsed="false">
      <c r="A80" s="2" t="n">
        <v>79</v>
      </c>
      <c r="B80" s="2" t="s">
        <v>241</v>
      </c>
      <c r="C80" s="12" t="n">
        <v>45926</v>
      </c>
      <c r="D80" s="2" t="s">
        <v>139</v>
      </c>
      <c r="E80" s="2" t="s">
        <v>96</v>
      </c>
      <c r="F80" s="2" t="s">
        <v>97</v>
      </c>
      <c r="G80" s="2" t="s">
        <v>94</v>
      </c>
      <c r="H80" s="2" t="s">
        <v>95</v>
      </c>
      <c r="I80" s="9" t="n">
        <v>3</v>
      </c>
      <c r="J80" s="3" t="n">
        <v>7.99</v>
      </c>
      <c r="K80" s="3" t="n">
        <v>23.97</v>
      </c>
      <c r="L80" s="4" t="n">
        <v>0</v>
      </c>
      <c r="M80" s="3" t="n">
        <v>0</v>
      </c>
      <c r="N80" s="3" t="n">
        <v>0</v>
      </c>
      <c r="O80" s="3" t="n">
        <f aca="false">K80-M80-N80</f>
        <v>23.97</v>
      </c>
      <c r="P80" s="4" t="n">
        <v>0.1</v>
      </c>
      <c r="Q80" s="3" t="n">
        <v>21.79</v>
      </c>
      <c r="R80" s="3" t="n">
        <f aca="false">O80-Q80</f>
        <v>2.18</v>
      </c>
      <c r="S80" s="3" t="n">
        <v>10.2</v>
      </c>
      <c r="T80" s="3" t="n">
        <f aca="false">Q80-S80</f>
        <v>11.59</v>
      </c>
      <c r="U80" s="4" t="n">
        <f aca="false">IF(Q80=0,0,T80/Q80)</f>
        <v>0.53189536484626</v>
      </c>
      <c r="V80" s="2" t="s">
        <v>126</v>
      </c>
      <c r="W80" s="2" t="s">
        <v>156</v>
      </c>
      <c r="X80" s="2" t="s">
        <v>132</v>
      </c>
    </row>
    <row r="81" customFormat="false" ht="15" hidden="false" customHeight="false" outlineLevel="0" collapsed="false">
      <c r="A81" s="5" t="n">
        <v>80</v>
      </c>
      <c r="B81" s="5" t="s">
        <v>241</v>
      </c>
      <c r="C81" s="13" t="n">
        <v>45926</v>
      </c>
      <c r="D81" s="5" t="s">
        <v>139</v>
      </c>
      <c r="E81" s="5" t="s">
        <v>16</v>
      </c>
      <c r="F81" s="5" t="s">
        <v>17</v>
      </c>
      <c r="G81" s="5" t="s">
        <v>13</v>
      </c>
      <c r="H81" s="5" t="s">
        <v>14</v>
      </c>
      <c r="I81" s="11" t="n">
        <v>3</v>
      </c>
      <c r="J81" s="6" t="n">
        <v>54.9</v>
      </c>
      <c r="K81" s="6" t="n">
        <v>164.7</v>
      </c>
      <c r="L81" s="7" t="n">
        <v>0</v>
      </c>
      <c r="M81" s="6" t="n">
        <v>0</v>
      </c>
      <c r="N81" s="6" t="n">
        <v>0</v>
      </c>
      <c r="O81" s="6" t="n">
        <f aca="false">K81-M81-N81</f>
        <v>164.7</v>
      </c>
      <c r="P81" s="7" t="n">
        <v>0.21</v>
      </c>
      <c r="Q81" s="6" t="n">
        <v>136.12</v>
      </c>
      <c r="R81" s="6" t="n">
        <f aca="false">O81-Q81</f>
        <v>28.58</v>
      </c>
      <c r="S81" s="6" t="n">
        <v>66</v>
      </c>
      <c r="T81" s="6" t="n">
        <f aca="false">Q81-S81</f>
        <v>70.12</v>
      </c>
      <c r="U81" s="7" t="n">
        <f aca="false">IF(Q81=0,0,T81/Q81)</f>
        <v>0.515133705553923</v>
      </c>
      <c r="V81" s="5" t="s">
        <v>126</v>
      </c>
      <c r="W81" s="5" t="s">
        <v>156</v>
      </c>
      <c r="X81" s="5" t="s">
        <v>132</v>
      </c>
    </row>
    <row r="82" customFormat="false" ht="15" hidden="false" customHeight="false" outlineLevel="0" collapsed="false">
      <c r="A82" s="2" t="n">
        <v>81</v>
      </c>
      <c r="B82" s="2" t="s">
        <v>242</v>
      </c>
      <c r="C82" s="12" t="n">
        <v>45927</v>
      </c>
      <c r="D82" s="2" t="s">
        <v>164</v>
      </c>
      <c r="E82" s="2" t="s">
        <v>31</v>
      </c>
      <c r="F82" s="2" t="s">
        <v>32</v>
      </c>
      <c r="G82" s="2" t="s">
        <v>33</v>
      </c>
      <c r="H82" s="2" t="s">
        <v>23</v>
      </c>
      <c r="I82" s="9" t="n">
        <v>1</v>
      </c>
      <c r="J82" s="3" t="n">
        <v>89.9</v>
      </c>
      <c r="K82" s="3" t="n">
        <v>89.9</v>
      </c>
      <c r="L82" s="4" t="n">
        <v>0.1</v>
      </c>
      <c r="M82" s="3" t="n">
        <v>8.99</v>
      </c>
      <c r="N82" s="3" t="n">
        <v>12.14</v>
      </c>
      <c r="O82" s="3" t="n">
        <f aca="false">K82-M82-N82</f>
        <v>68.77</v>
      </c>
      <c r="P82" s="4" t="n">
        <v>0.21</v>
      </c>
      <c r="Q82" s="3" t="n">
        <v>56.83</v>
      </c>
      <c r="R82" s="3" t="n">
        <f aca="false">O82-Q82</f>
        <v>11.94</v>
      </c>
      <c r="S82" s="3" t="n">
        <v>48</v>
      </c>
      <c r="T82" s="3" t="n">
        <f aca="false">Q82-S82</f>
        <v>8.83</v>
      </c>
      <c r="U82" s="4" t="n">
        <f aca="false">IF(Q82=0,0,T82/Q82)</f>
        <v>0.155375681858173</v>
      </c>
      <c r="V82" s="2" t="s">
        <v>172</v>
      </c>
      <c r="W82" s="2" t="s">
        <v>154</v>
      </c>
      <c r="X82" s="2" t="s">
        <v>132</v>
      </c>
    </row>
    <row r="83" customFormat="false" ht="15" hidden="false" customHeight="false" outlineLevel="0" collapsed="false">
      <c r="A83" s="5" t="n">
        <v>82</v>
      </c>
      <c r="B83" s="5" t="s">
        <v>243</v>
      </c>
      <c r="C83" s="13" t="n">
        <v>45927</v>
      </c>
      <c r="D83" s="5" t="s">
        <v>164</v>
      </c>
      <c r="E83" s="5" t="s">
        <v>67</v>
      </c>
      <c r="F83" s="5" t="s">
        <v>68</v>
      </c>
      <c r="G83" s="5" t="s">
        <v>65</v>
      </c>
      <c r="H83" s="5" t="s">
        <v>66</v>
      </c>
      <c r="I83" s="11" t="n">
        <v>1</v>
      </c>
      <c r="J83" s="6" t="n">
        <v>64.9</v>
      </c>
      <c r="K83" s="6" t="n">
        <v>64.9</v>
      </c>
      <c r="L83" s="7" t="n">
        <v>0.15</v>
      </c>
      <c r="M83" s="6" t="n">
        <v>9.74</v>
      </c>
      <c r="N83" s="6" t="n">
        <v>5.52</v>
      </c>
      <c r="O83" s="6" t="n">
        <f aca="false">K83-M83-N83</f>
        <v>49.64</v>
      </c>
      <c r="P83" s="7" t="n">
        <v>0.21</v>
      </c>
      <c r="Q83" s="6" t="n">
        <v>41.02</v>
      </c>
      <c r="R83" s="6" t="n">
        <f aca="false">O83-Q83</f>
        <v>8.62</v>
      </c>
      <c r="S83" s="6" t="n">
        <v>28</v>
      </c>
      <c r="T83" s="6" t="n">
        <f aca="false">Q83-S83</f>
        <v>13.02</v>
      </c>
      <c r="U83" s="7" t="n">
        <f aca="false">IF(Q83=0,0,T83/Q83)</f>
        <v>0.31740614334471</v>
      </c>
      <c r="V83" s="5" t="s">
        <v>138</v>
      </c>
      <c r="W83" s="5" t="s">
        <v>136</v>
      </c>
      <c r="X83" s="5" t="s">
        <v>185</v>
      </c>
    </row>
    <row r="84" customFormat="false" ht="15" hidden="false" customHeight="false" outlineLevel="0" collapsed="false">
      <c r="A84" s="2" t="n">
        <v>83</v>
      </c>
      <c r="B84" s="2" t="s">
        <v>244</v>
      </c>
      <c r="C84" s="12" t="n">
        <v>45929</v>
      </c>
      <c r="D84" s="2" t="s">
        <v>139</v>
      </c>
      <c r="E84" s="2" t="s">
        <v>45</v>
      </c>
      <c r="F84" s="2" t="s">
        <v>46</v>
      </c>
      <c r="G84" s="2" t="s">
        <v>38</v>
      </c>
      <c r="H84" s="2" t="s">
        <v>39</v>
      </c>
      <c r="I84" s="9" t="n">
        <v>1</v>
      </c>
      <c r="J84" s="3" t="n">
        <v>79.9</v>
      </c>
      <c r="K84" s="3" t="n">
        <v>79.9</v>
      </c>
      <c r="L84" s="4" t="n">
        <v>0</v>
      </c>
      <c r="M84" s="3" t="n">
        <v>0</v>
      </c>
      <c r="N84" s="3" t="n">
        <v>7.99</v>
      </c>
      <c r="O84" s="3" t="n">
        <f aca="false">K84-M84-N84</f>
        <v>71.91</v>
      </c>
      <c r="P84" s="4" t="n">
        <v>0.21</v>
      </c>
      <c r="Q84" s="3" t="n">
        <v>59.43</v>
      </c>
      <c r="R84" s="3" t="n">
        <f aca="false">O84-Q84</f>
        <v>12.48</v>
      </c>
      <c r="S84" s="3" t="n">
        <v>32</v>
      </c>
      <c r="T84" s="3" t="n">
        <f aca="false">Q84-S84</f>
        <v>27.43</v>
      </c>
      <c r="U84" s="4" t="n">
        <f aca="false">IF(Q84=0,0,T84/Q84)</f>
        <v>0.461551405014303</v>
      </c>
      <c r="V84" s="2" t="s">
        <v>148</v>
      </c>
      <c r="W84" s="2" t="s">
        <v>156</v>
      </c>
      <c r="X84" s="2" t="s">
        <v>132</v>
      </c>
    </row>
    <row r="85" customFormat="false" ht="15" hidden="false" customHeight="false" outlineLevel="0" collapsed="false">
      <c r="A85" s="5" t="n">
        <v>84</v>
      </c>
      <c r="B85" s="5" t="s">
        <v>244</v>
      </c>
      <c r="C85" s="13" t="n">
        <v>45929</v>
      </c>
      <c r="D85" s="5" t="s">
        <v>139</v>
      </c>
      <c r="E85" s="5" t="s">
        <v>55</v>
      </c>
      <c r="F85" s="5" t="s">
        <v>56</v>
      </c>
      <c r="G85" s="5" t="s">
        <v>51</v>
      </c>
      <c r="H85" s="5" t="s">
        <v>52</v>
      </c>
      <c r="I85" s="11" t="n">
        <v>6</v>
      </c>
      <c r="J85" s="6" t="n">
        <v>119</v>
      </c>
      <c r="K85" s="6" t="n">
        <v>714</v>
      </c>
      <c r="L85" s="7" t="n">
        <v>0</v>
      </c>
      <c r="M85" s="6" t="n">
        <v>0</v>
      </c>
      <c r="N85" s="6" t="n">
        <v>71.4</v>
      </c>
      <c r="O85" s="6" t="n">
        <f aca="false">K85-M85-N85</f>
        <v>642.6</v>
      </c>
      <c r="P85" s="7" t="n">
        <v>0.21</v>
      </c>
      <c r="Q85" s="6" t="n">
        <v>531.07</v>
      </c>
      <c r="R85" s="6" t="n">
        <f aca="false">O85-Q85</f>
        <v>111.53</v>
      </c>
      <c r="S85" s="6" t="n">
        <v>330</v>
      </c>
      <c r="T85" s="6" t="n">
        <f aca="false">Q85-S85</f>
        <v>201.07</v>
      </c>
      <c r="U85" s="7" t="n">
        <f aca="false">IF(Q85=0,0,T85/Q85)</f>
        <v>0.378612988871524</v>
      </c>
      <c r="V85" s="5" t="s">
        <v>148</v>
      </c>
      <c r="W85" s="5" t="s">
        <v>156</v>
      </c>
      <c r="X85" s="5" t="s">
        <v>132</v>
      </c>
    </row>
    <row r="86" customFormat="false" ht="15" hidden="false" customHeight="false" outlineLevel="0" collapsed="false">
      <c r="A86" s="2" t="n">
        <v>85</v>
      </c>
      <c r="B86" s="2" t="s">
        <v>245</v>
      </c>
      <c r="C86" s="12" t="n">
        <v>45931</v>
      </c>
      <c r="D86" s="2" t="s">
        <v>139</v>
      </c>
      <c r="E86" s="2" t="s">
        <v>42</v>
      </c>
      <c r="F86" s="2" t="s">
        <v>43</v>
      </c>
      <c r="G86" s="2" t="s">
        <v>44</v>
      </c>
      <c r="H86" s="2" t="s">
        <v>39</v>
      </c>
      <c r="I86" s="9" t="n">
        <v>1</v>
      </c>
      <c r="J86" s="3" t="n">
        <v>24.9</v>
      </c>
      <c r="K86" s="3" t="n">
        <v>24.9</v>
      </c>
      <c r="L86" s="4" t="n">
        <v>0</v>
      </c>
      <c r="M86" s="3" t="n">
        <v>0</v>
      </c>
      <c r="N86" s="3" t="n">
        <v>0</v>
      </c>
      <c r="O86" s="3" t="n">
        <f aca="false">K86-M86-N86</f>
        <v>24.9</v>
      </c>
      <c r="P86" s="4" t="n">
        <v>0.21</v>
      </c>
      <c r="Q86" s="3" t="n">
        <v>20.58</v>
      </c>
      <c r="R86" s="3" t="n">
        <f aca="false">O86-Q86</f>
        <v>4.32</v>
      </c>
      <c r="S86" s="3" t="n">
        <v>8.5</v>
      </c>
      <c r="T86" s="3" t="n">
        <f aca="false">Q86-S86</f>
        <v>12.08</v>
      </c>
      <c r="U86" s="4" t="n">
        <f aca="false">IF(Q86=0,0,T86/Q86)</f>
        <v>0.586977648202138</v>
      </c>
      <c r="V86" s="2" t="s">
        <v>126</v>
      </c>
      <c r="W86" s="2" t="s">
        <v>156</v>
      </c>
      <c r="X86" s="2" t="s">
        <v>132</v>
      </c>
    </row>
    <row r="87" customFormat="false" ht="15" hidden="false" customHeight="false" outlineLevel="0" collapsed="false">
      <c r="A87" s="5" t="n">
        <v>86</v>
      </c>
      <c r="B87" s="5" t="s">
        <v>246</v>
      </c>
      <c r="C87" s="13" t="n">
        <v>45933</v>
      </c>
      <c r="D87" s="5" t="s">
        <v>217</v>
      </c>
      <c r="E87" s="5" t="s">
        <v>61</v>
      </c>
      <c r="F87" s="5" t="s">
        <v>62</v>
      </c>
      <c r="G87" s="5" t="s">
        <v>59</v>
      </c>
      <c r="H87" s="5" t="s">
        <v>60</v>
      </c>
      <c r="I87" s="11" t="n">
        <v>1</v>
      </c>
      <c r="J87" s="6" t="n">
        <v>18.9</v>
      </c>
      <c r="K87" s="6" t="n">
        <v>18.9</v>
      </c>
      <c r="L87" s="7" t="n">
        <v>0</v>
      </c>
      <c r="M87" s="6" t="n">
        <v>0</v>
      </c>
      <c r="N87" s="6" t="n">
        <v>0</v>
      </c>
      <c r="O87" s="6" t="n">
        <f aca="false">K87-M87-N87</f>
        <v>18.9</v>
      </c>
      <c r="P87" s="7" t="n">
        <v>0.21</v>
      </c>
      <c r="Q87" s="6" t="n">
        <v>15.62</v>
      </c>
      <c r="R87" s="6" t="n">
        <f aca="false">O87-Q87</f>
        <v>3.28</v>
      </c>
      <c r="S87" s="6" t="n">
        <v>6.5</v>
      </c>
      <c r="T87" s="6" t="n">
        <f aca="false">Q87-S87</f>
        <v>9.12</v>
      </c>
      <c r="U87" s="7" t="n">
        <f aca="false">IF(Q87=0,0,T87/Q87)</f>
        <v>0.583866837387964</v>
      </c>
      <c r="V87" s="5" t="s">
        <v>172</v>
      </c>
      <c r="W87" s="5" t="s">
        <v>136</v>
      </c>
      <c r="X87" s="5" t="s">
        <v>132</v>
      </c>
    </row>
    <row r="88" customFormat="false" ht="15" hidden="false" customHeight="false" outlineLevel="0" collapsed="false">
      <c r="A88" s="2" t="n">
        <v>87</v>
      </c>
      <c r="B88" s="2" t="s">
        <v>247</v>
      </c>
      <c r="C88" s="12" t="n">
        <v>45933</v>
      </c>
      <c r="D88" s="2" t="s">
        <v>188</v>
      </c>
      <c r="E88" s="2" t="s">
        <v>31</v>
      </c>
      <c r="F88" s="2" t="s">
        <v>32</v>
      </c>
      <c r="G88" s="2" t="s">
        <v>33</v>
      </c>
      <c r="H88" s="2" t="s">
        <v>23</v>
      </c>
      <c r="I88" s="9" t="n">
        <v>1</v>
      </c>
      <c r="J88" s="3" t="n">
        <v>89.9</v>
      </c>
      <c r="K88" s="3" t="n">
        <v>89.9</v>
      </c>
      <c r="L88" s="4" t="n">
        <v>0</v>
      </c>
      <c r="M88" s="3" t="n">
        <v>0</v>
      </c>
      <c r="N88" s="3" t="n">
        <v>13.48</v>
      </c>
      <c r="O88" s="3" t="n">
        <f aca="false">K88-M88-N88</f>
        <v>76.42</v>
      </c>
      <c r="P88" s="4" t="n">
        <v>0.21</v>
      </c>
      <c r="Q88" s="3" t="n">
        <v>63.16</v>
      </c>
      <c r="R88" s="3" t="n">
        <f aca="false">O88-Q88</f>
        <v>13.26</v>
      </c>
      <c r="S88" s="3" t="n">
        <v>48</v>
      </c>
      <c r="T88" s="3" t="n">
        <f aca="false">Q88-S88</f>
        <v>15.16</v>
      </c>
      <c r="U88" s="4" t="n">
        <f aca="false">IF(Q88=0,0,T88/Q88)</f>
        <v>0.240025332488917</v>
      </c>
      <c r="V88" s="2" t="s">
        <v>138</v>
      </c>
      <c r="W88" s="2" t="s">
        <v>154</v>
      </c>
      <c r="X88" s="2" t="s">
        <v>132</v>
      </c>
    </row>
    <row r="89" customFormat="false" ht="15" hidden="false" customHeight="false" outlineLevel="0" collapsed="false">
      <c r="A89" s="5" t="n">
        <v>88</v>
      </c>
      <c r="B89" s="5" t="s">
        <v>248</v>
      </c>
      <c r="C89" s="13" t="n">
        <v>45935</v>
      </c>
      <c r="D89" s="5" t="s">
        <v>202</v>
      </c>
      <c r="E89" s="5" t="s">
        <v>49</v>
      </c>
      <c r="F89" s="5" t="s">
        <v>50</v>
      </c>
      <c r="G89" s="5" t="s">
        <v>51</v>
      </c>
      <c r="H89" s="5" t="s">
        <v>52</v>
      </c>
      <c r="I89" s="11" t="n">
        <v>2</v>
      </c>
      <c r="J89" s="6" t="n">
        <v>19.9</v>
      </c>
      <c r="K89" s="6" t="n">
        <v>39.8</v>
      </c>
      <c r="L89" s="7" t="n">
        <v>0</v>
      </c>
      <c r="M89" s="6" t="n">
        <v>0</v>
      </c>
      <c r="N89" s="6" t="n">
        <v>0</v>
      </c>
      <c r="O89" s="6" t="n">
        <f aca="false">K89-M89-N89</f>
        <v>39.8</v>
      </c>
      <c r="P89" s="7" t="n">
        <v>0.21</v>
      </c>
      <c r="Q89" s="6" t="n">
        <v>32.89</v>
      </c>
      <c r="R89" s="6" t="n">
        <f aca="false">O89-Q89</f>
        <v>6.91</v>
      </c>
      <c r="S89" s="6" t="n">
        <v>15.8</v>
      </c>
      <c r="T89" s="6" t="n">
        <f aca="false">Q89-S89</f>
        <v>17.09</v>
      </c>
      <c r="U89" s="7" t="n">
        <f aca="false">IF(Q89=0,0,T89/Q89)</f>
        <v>0.51961082395865</v>
      </c>
      <c r="V89" s="5" t="s">
        <v>126</v>
      </c>
      <c r="W89" s="5" t="s">
        <v>177</v>
      </c>
      <c r="X89" s="5" t="s">
        <v>132</v>
      </c>
    </row>
    <row r="90" customFormat="false" ht="15" hidden="false" customHeight="false" outlineLevel="0" collapsed="false">
      <c r="A90" s="2" t="n">
        <v>89</v>
      </c>
      <c r="B90" s="2" t="s">
        <v>248</v>
      </c>
      <c r="C90" s="12" t="n">
        <v>45935</v>
      </c>
      <c r="D90" s="2" t="s">
        <v>202</v>
      </c>
      <c r="E90" s="2" t="s">
        <v>36</v>
      </c>
      <c r="F90" s="2" t="s">
        <v>37</v>
      </c>
      <c r="G90" s="2" t="s">
        <v>38</v>
      </c>
      <c r="H90" s="2" t="s">
        <v>39</v>
      </c>
      <c r="I90" s="9" t="n">
        <v>1</v>
      </c>
      <c r="J90" s="3" t="n">
        <v>399</v>
      </c>
      <c r="K90" s="3" t="n">
        <v>399</v>
      </c>
      <c r="L90" s="4" t="n">
        <v>0</v>
      </c>
      <c r="M90" s="3" t="n">
        <v>0</v>
      </c>
      <c r="N90" s="3" t="n">
        <v>0</v>
      </c>
      <c r="O90" s="3" t="n">
        <f aca="false">K90-M90-N90</f>
        <v>399</v>
      </c>
      <c r="P90" s="4" t="n">
        <v>0.21</v>
      </c>
      <c r="Q90" s="3" t="n">
        <v>329.75</v>
      </c>
      <c r="R90" s="3" t="n">
        <f aca="false">O90-Q90</f>
        <v>69.25</v>
      </c>
      <c r="S90" s="3" t="n">
        <v>265</v>
      </c>
      <c r="T90" s="3" t="n">
        <f aca="false">Q90-S90</f>
        <v>64.75</v>
      </c>
      <c r="U90" s="4" t="n">
        <f aca="false">IF(Q90=0,0,T90/Q90)</f>
        <v>0.196360879454132</v>
      </c>
      <c r="V90" s="2" t="s">
        <v>126</v>
      </c>
      <c r="W90" s="2" t="s">
        <v>177</v>
      </c>
      <c r="X90" s="2" t="s">
        <v>132</v>
      </c>
    </row>
    <row r="91" customFormat="false" ht="15" hidden="false" customHeight="false" outlineLevel="0" collapsed="false">
      <c r="A91" s="5" t="n">
        <v>90</v>
      </c>
      <c r="B91" s="5" t="s">
        <v>248</v>
      </c>
      <c r="C91" s="13" t="n">
        <v>45935</v>
      </c>
      <c r="D91" s="5" t="s">
        <v>202</v>
      </c>
      <c r="E91" s="5" t="s">
        <v>69</v>
      </c>
      <c r="F91" s="5" t="s">
        <v>70</v>
      </c>
      <c r="G91" s="5" t="s">
        <v>71</v>
      </c>
      <c r="H91" s="5" t="s">
        <v>72</v>
      </c>
      <c r="I91" s="11" t="n">
        <v>1</v>
      </c>
      <c r="J91" s="6" t="n">
        <v>22.9</v>
      </c>
      <c r="K91" s="6" t="n">
        <v>22.9</v>
      </c>
      <c r="L91" s="7" t="n">
        <v>0.05</v>
      </c>
      <c r="M91" s="6" t="n">
        <v>1.14</v>
      </c>
      <c r="N91" s="6" t="n">
        <v>0</v>
      </c>
      <c r="O91" s="6" t="n">
        <f aca="false">K91-M91-N91</f>
        <v>21.76</v>
      </c>
      <c r="P91" s="7" t="n">
        <v>0.21</v>
      </c>
      <c r="Q91" s="6" t="n">
        <v>17.98</v>
      </c>
      <c r="R91" s="6" t="n">
        <f aca="false">O91-Q91</f>
        <v>3.78</v>
      </c>
      <c r="S91" s="6" t="n">
        <v>8</v>
      </c>
      <c r="T91" s="6" t="n">
        <f aca="false">Q91-S91</f>
        <v>9.98</v>
      </c>
      <c r="U91" s="7" t="n">
        <f aca="false">IF(Q91=0,0,T91/Q91)</f>
        <v>0.555061179087875</v>
      </c>
      <c r="V91" s="5" t="s">
        <v>126</v>
      </c>
      <c r="W91" s="5" t="s">
        <v>177</v>
      </c>
      <c r="X91" s="5" t="s">
        <v>132</v>
      </c>
    </row>
    <row r="92" customFormat="false" ht="15" hidden="false" customHeight="false" outlineLevel="0" collapsed="false">
      <c r="A92" s="2" t="n">
        <v>91</v>
      </c>
      <c r="B92" s="2" t="s">
        <v>249</v>
      </c>
      <c r="C92" s="12" t="n">
        <v>45935</v>
      </c>
      <c r="D92" s="2" t="s">
        <v>139</v>
      </c>
      <c r="E92" s="2" t="s">
        <v>81</v>
      </c>
      <c r="F92" s="2" t="s">
        <v>82</v>
      </c>
      <c r="G92" s="2" t="s">
        <v>79</v>
      </c>
      <c r="H92" s="2" t="s">
        <v>80</v>
      </c>
      <c r="I92" s="9" t="n">
        <v>1</v>
      </c>
      <c r="J92" s="3" t="n">
        <v>19.9</v>
      </c>
      <c r="K92" s="3" t="n">
        <v>19.9</v>
      </c>
      <c r="L92" s="4" t="n">
        <v>0</v>
      </c>
      <c r="M92" s="3" t="n">
        <v>0</v>
      </c>
      <c r="N92" s="3" t="n">
        <v>0</v>
      </c>
      <c r="O92" s="3" t="n">
        <f aca="false">K92-M92-N92</f>
        <v>19.9</v>
      </c>
      <c r="P92" s="4" t="n">
        <v>0.21</v>
      </c>
      <c r="Q92" s="3" t="n">
        <v>16.45</v>
      </c>
      <c r="R92" s="3" t="n">
        <f aca="false">O92-Q92</f>
        <v>3.45</v>
      </c>
      <c r="S92" s="3" t="n">
        <v>7</v>
      </c>
      <c r="T92" s="3" t="n">
        <f aca="false">Q92-S92</f>
        <v>9.45</v>
      </c>
      <c r="U92" s="4" t="n">
        <f aca="false">IF(Q92=0,0,T92/Q92)</f>
        <v>0.574468085106383</v>
      </c>
      <c r="V92" s="2" t="s">
        <v>172</v>
      </c>
      <c r="W92" s="2" t="s">
        <v>177</v>
      </c>
      <c r="X92" s="2" t="s">
        <v>132</v>
      </c>
    </row>
    <row r="93" customFormat="false" ht="15" hidden="false" customHeight="false" outlineLevel="0" collapsed="false">
      <c r="A93" s="5" t="n">
        <v>92</v>
      </c>
      <c r="B93" s="5" t="s">
        <v>249</v>
      </c>
      <c r="C93" s="13" t="n">
        <v>45935</v>
      </c>
      <c r="D93" s="5" t="s">
        <v>139</v>
      </c>
      <c r="E93" s="5" t="s">
        <v>42</v>
      </c>
      <c r="F93" s="5" t="s">
        <v>43</v>
      </c>
      <c r="G93" s="5" t="s">
        <v>44</v>
      </c>
      <c r="H93" s="5" t="s">
        <v>39</v>
      </c>
      <c r="I93" s="11" t="n">
        <v>1</v>
      </c>
      <c r="J93" s="6" t="n">
        <v>24.9</v>
      </c>
      <c r="K93" s="6" t="n">
        <v>24.9</v>
      </c>
      <c r="L93" s="7" t="n">
        <v>0</v>
      </c>
      <c r="M93" s="6" t="n">
        <v>0</v>
      </c>
      <c r="N93" s="6" t="n">
        <v>0</v>
      </c>
      <c r="O93" s="6" t="n">
        <f aca="false">K93-M93-N93</f>
        <v>24.9</v>
      </c>
      <c r="P93" s="7" t="n">
        <v>0.21</v>
      </c>
      <c r="Q93" s="6" t="n">
        <v>20.58</v>
      </c>
      <c r="R93" s="6" t="n">
        <f aca="false">O93-Q93</f>
        <v>4.32</v>
      </c>
      <c r="S93" s="6" t="n">
        <v>8.5</v>
      </c>
      <c r="T93" s="6" t="n">
        <f aca="false">Q93-S93</f>
        <v>12.08</v>
      </c>
      <c r="U93" s="7" t="n">
        <f aca="false">IF(Q93=0,0,T93/Q93)</f>
        <v>0.586977648202138</v>
      </c>
      <c r="V93" s="5" t="s">
        <v>172</v>
      </c>
      <c r="W93" s="5" t="s">
        <v>177</v>
      </c>
      <c r="X93" s="5" t="s">
        <v>132</v>
      </c>
    </row>
    <row r="94" customFormat="false" ht="15" hidden="false" customHeight="false" outlineLevel="0" collapsed="false">
      <c r="A94" s="2" t="n">
        <v>93</v>
      </c>
      <c r="B94" s="2" t="s">
        <v>250</v>
      </c>
      <c r="C94" s="12" t="n">
        <v>45938</v>
      </c>
      <c r="D94" s="2" t="s">
        <v>149</v>
      </c>
      <c r="E94" s="2" t="s">
        <v>61</v>
      </c>
      <c r="F94" s="2" t="s">
        <v>62</v>
      </c>
      <c r="G94" s="2" t="s">
        <v>59</v>
      </c>
      <c r="H94" s="2" t="s">
        <v>60</v>
      </c>
      <c r="I94" s="9" t="n">
        <v>3</v>
      </c>
      <c r="J94" s="3" t="n">
        <v>18.9</v>
      </c>
      <c r="K94" s="3" t="n">
        <v>56.7</v>
      </c>
      <c r="L94" s="4" t="n">
        <v>0.1</v>
      </c>
      <c r="M94" s="3" t="n">
        <v>5.67</v>
      </c>
      <c r="N94" s="3" t="n">
        <v>0</v>
      </c>
      <c r="O94" s="3" t="n">
        <f aca="false">K94-M94-N94</f>
        <v>51.03</v>
      </c>
      <c r="P94" s="4" t="n">
        <v>0.21</v>
      </c>
      <c r="Q94" s="3" t="n">
        <v>42.17</v>
      </c>
      <c r="R94" s="3" t="n">
        <f aca="false">O94-Q94</f>
        <v>8.86</v>
      </c>
      <c r="S94" s="3" t="n">
        <v>19.5</v>
      </c>
      <c r="T94" s="3" t="n">
        <f aca="false">Q94-S94</f>
        <v>22.67</v>
      </c>
      <c r="U94" s="4" t="n">
        <f aca="false">IF(Q94=0,0,T94/Q94)</f>
        <v>0.537585961584065</v>
      </c>
      <c r="V94" s="2" t="s">
        <v>138</v>
      </c>
      <c r="W94" s="2" t="s">
        <v>156</v>
      </c>
      <c r="X94" s="2" t="s">
        <v>132</v>
      </c>
    </row>
    <row r="95" customFormat="false" ht="15" hidden="false" customHeight="false" outlineLevel="0" collapsed="false">
      <c r="A95" s="5" t="n">
        <v>94</v>
      </c>
      <c r="B95" s="5" t="s">
        <v>251</v>
      </c>
      <c r="C95" s="13" t="n">
        <v>45941</v>
      </c>
      <c r="D95" s="5" t="s">
        <v>217</v>
      </c>
      <c r="E95" s="5" t="s">
        <v>98</v>
      </c>
      <c r="F95" s="5" t="s">
        <v>99</v>
      </c>
      <c r="G95" s="5" t="s">
        <v>94</v>
      </c>
      <c r="H95" s="5" t="s">
        <v>95</v>
      </c>
      <c r="I95" s="11" t="n">
        <v>1</v>
      </c>
      <c r="J95" s="6" t="n">
        <v>2.99</v>
      </c>
      <c r="K95" s="6" t="n">
        <v>2.99</v>
      </c>
      <c r="L95" s="7" t="n">
        <v>0</v>
      </c>
      <c r="M95" s="6" t="n">
        <v>0</v>
      </c>
      <c r="N95" s="6" t="n">
        <v>0</v>
      </c>
      <c r="O95" s="6" t="n">
        <f aca="false">K95-M95-N95</f>
        <v>2.99</v>
      </c>
      <c r="P95" s="7" t="n">
        <v>0.1</v>
      </c>
      <c r="Q95" s="6" t="n">
        <v>2.72</v>
      </c>
      <c r="R95" s="6" t="n">
        <f aca="false">O95-Q95</f>
        <v>0.27</v>
      </c>
      <c r="S95" s="6" t="n">
        <v>1.2</v>
      </c>
      <c r="T95" s="6" t="n">
        <f aca="false">Q95-S95</f>
        <v>1.52</v>
      </c>
      <c r="U95" s="7" t="n">
        <f aca="false">IF(Q95=0,0,T95/Q95)</f>
        <v>0.558823529411765</v>
      </c>
      <c r="V95" s="5" t="s">
        <v>126</v>
      </c>
      <c r="W95" s="5" t="s">
        <v>156</v>
      </c>
      <c r="X95" s="5" t="s">
        <v>132</v>
      </c>
    </row>
    <row r="96" customFormat="false" ht="15" hidden="false" customHeight="false" outlineLevel="0" collapsed="false">
      <c r="A96" s="2" t="n">
        <v>95</v>
      </c>
      <c r="B96" s="2" t="s">
        <v>251</v>
      </c>
      <c r="C96" s="12" t="n">
        <v>45941</v>
      </c>
      <c r="D96" s="2" t="s">
        <v>217</v>
      </c>
      <c r="E96" s="2" t="s">
        <v>24</v>
      </c>
      <c r="F96" s="2" t="s">
        <v>25</v>
      </c>
      <c r="G96" s="2" t="s">
        <v>22</v>
      </c>
      <c r="H96" s="2" t="s">
        <v>23</v>
      </c>
      <c r="I96" s="9" t="n">
        <v>1</v>
      </c>
      <c r="J96" s="3" t="n">
        <v>24.9</v>
      </c>
      <c r="K96" s="3" t="n">
        <v>24.9</v>
      </c>
      <c r="L96" s="4" t="n">
        <v>0.1</v>
      </c>
      <c r="M96" s="3" t="n">
        <v>2.49</v>
      </c>
      <c r="N96" s="3" t="n">
        <v>0</v>
      </c>
      <c r="O96" s="3" t="n">
        <f aca="false">K96-M96-N96</f>
        <v>22.41</v>
      </c>
      <c r="P96" s="4" t="n">
        <v>0.21</v>
      </c>
      <c r="Q96" s="3" t="n">
        <v>18.52</v>
      </c>
      <c r="R96" s="3" t="n">
        <f aca="false">O96-Q96</f>
        <v>3.89</v>
      </c>
      <c r="S96" s="3" t="n">
        <v>9.8</v>
      </c>
      <c r="T96" s="3" t="n">
        <f aca="false">Q96-S96</f>
        <v>8.72</v>
      </c>
      <c r="U96" s="4" t="n">
        <f aca="false">IF(Q96=0,0,T96/Q96)</f>
        <v>0.470842332613391</v>
      </c>
      <c r="V96" s="2" t="s">
        <v>126</v>
      </c>
      <c r="W96" s="2" t="s">
        <v>156</v>
      </c>
      <c r="X96" s="2" t="s">
        <v>132</v>
      </c>
    </row>
    <row r="97" customFormat="false" ht="15" hidden="false" customHeight="false" outlineLevel="0" collapsed="false">
      <c r="A97" s="5" t="n">
        <v>96</v>
      </c>
      <c r="B97" s="5" t="s">
        <v>252</v>
      </c>
      <c r="C97" s="13" t="n">
        <v>45943</v>
      </c>
      <c r="D97" s="5" t="s">
        <v>188</v>
      </c>
      <c r="E97" s="5" t="s">
        <v>83</v>
      </c>
      <c r="F97" s="5" t="s">
        <v>84</v>
      </c>
      <c r="G97" s="5" t="s">
        <v>85</v>
      </c>
      <c r="H97" s="5" t="s">
        <v>86</v>
      </c>
      <c r="I97" s="11" t="n">
        <v>1</v>
      </c>
      <c r="J97" s="6" t="n">
        <v>3.9</v>
      </c>
      <c r="K97" s="6" t="n">
        <v>3.9</v>
      </c>
      <c r="L97" s="7" t="n">
        <v>0</v>
      </c>
      <c r="M97" s="6" t="n">
        <v>0</v>
      </c>
      <c r="N97" s="6" t="n">
        <v>0</v>
      </c>
      <c r="O97" s="6" t="n">
        <f aca="false">K97-M97-N97</f>
        <v>3.9</v>
      </c>
      <c r="P97" s="7" t="n">
        <v>0.1</v>
      </c>
      <c r="Q97" s="6" t="n">
        <v>3.55</v>
      </c>
      <c r="R97" s="6" t="n">
        <f aca="false">O97-Q97</f>
        <v>0.35</v>
      </c>
      <c r="S97" s="6" t="n">
        <v>2.5</v>
      </c>
      <c r="T97" s="6" t="n">
        <f aca="false">Q97-S97</f>
        <v>1.05</v>
      </c>
      <c r="U97" s="7" t="n">
        <f aca="false">IF(Q97=0,0,T97/Q97)</f>
        <v>0.295774647887324</v>
      </c>
      <c r="V97" s="5" t="s">
        <v>126</v>
      </c>
      <c r="W97" s="5" t="s">
        <v>136</v>
      </c>
      <c r="X97" s="5" t="s">
        <v>132</v>
      </c>
    </row>
    <row r="98" customFormat="false" ht="15" hidden="false" customHeight="false" outlineLevel="0" collapsed="false">
      <c r="A98" s="2" t="n">
        <v>97</v>
      </c>
      <c r="B98" s="2" t="s">
        <v>253</v>
      </c>
      <c r="C98" s="12" t="n">
        <v>45943</v>
      </c>
      <c r="D98" s="2" t="s">
        <v>179</v>
      </c>
      <c r="E98" s="2" t="s">
        <v>40</v>
      </c>
      <c r="F98" s="2" t="s">
        <v>41</v>
      </c>
      <c r="G98" s="2" t="s">
        <v>38</v>
      </c>
      <c r="H98" s="2" t="s">
        <v>39</v>
      </c>
      <c r="I98" s="9" t="n">
        <v>3</v>
      </c>
      <c r="J98" s="3" t="n">
        <v>12.9</v>
      </c>
      <c r="K98" s="3" t="n">
        <v>38.7</v>
      </c>
      <c r="L98" s="4" t="n">
        <v>0</v>
      </c>
      <c r="M98" s="3" t="n">
        <v>0</v>
      </c>
      <c r="N98" s="3" t="n">
        <v>0</v>
      </c>
      <c r="O98" s="3" t="n">
        <f aca="false">K98-M98-N98</f>
        <v>38.7</v>
      </c>
      <c r="P98" s="4" t="n">
        <v>0.21</v>
      </c>
      <c r="Q98" s="3" t="n">
        <v>31.98</v>
      </c>
      <c r="R98" s="3" t="n">
        <f aca="false">O98-Q98</f>
        <v>6.72</v>
      </c>
      <c r="S98" s="3" t="n">
        <v>6.3</v>
      </c>
      <c r="T98" s="3" t="n">
        <f aca="false">Q98-S98</f>
        <v>25.68</v>
      </c>
      <c r="U98" s="4" t="n">
        <f aca="false">IF(Q98=0,0,T98/Q98)</f>
        <v>0.803001876172608</v>
      </c>
      <c r="V98" s="2" t="s">
        <v>126</v>
      </c>
      <c r="W98" s="2" t="s">
        <v>136</v>
      </c>
      <c r="X98" s="2" t="s">
        <v>176</v>
      </c>
    </row>
    <row r="99" customFormat="false" ht="15" hidden="false" customHeight="false" outlineLevel="0" collapsed="false">
      <c r="A99" s="5" t="n">
        <v>98</v>
      </c>
      <c r="B99" s="5" t="s">
        <v>254</v>
      </c>
      <c r="C99" s="13" t="n">
        <v>45945</v>
      </c>
      <c r="D99" s="5" t="s">
        <v>223</v>
      </c>
      <c r="E99" s="5" t="s">
        <v>47</v>
      </c>
      <c r="F99" s="5" t="s">
        <v>48</v>
      </c>
      <c r="G99" s="5" t="s">
        <v>44</v>
      </c>
      <c r="H99" s="5" t="s">
        <v>39</v>
      </c>
      <c r="I99" s="11" t="n">
        <v>1</v>
      </c>
      <c r="J99" s="6" t="n">
        <v>34.9</v>
      </c>
      <c r="K99" s="6" t="n">
        <v>34.9</v>
      </c>
      <c r="L99" s="7" t="n">
        <v>0</v>
      </c>
      <c r="M99" s="6" t="n">
        <v>0</v>
      </c>
      <c r="N99" s="6" t="n">
        <v>0</v>
      </c>
      <c r="O99" s="6" t="n">
        <f aca="false">K99-M99-N99</f>
        <v>34.9</v>
      </c>
      <c r="P99" s="7" t="n">
        <v>0.21</v>
      </c>
      <c r="Q99" s="6" t="n">
        <v>28.84</v>
      </c>
      <c r="R99" s="6" t="n">
        <f aca="false">O99-Q99</f>
        <v>6.06</v>
      </c>
      <c r="S99" s="6" t="n">
        <v>14</v>
      </c>
      <c r="T99" s="6" t="n">
        <f aca="false">Q99-S99</f>
        <v>14.84</v>
      </c>
      <c r="U99" s="7" t="n">
        <f aca="false">IF(Q99=0,0,T99/Q99)</f>
        <v>0.514563106796117</v>
      </c>
      <c r="V99" s="5" t="s">
        <v>148</v>
      </c>
      <c r="W99" s="5" t="s">
        <v>156</v>
      </c>
      <c r="X99" s="5" t="s">
        <v>132</v>
      </c>
    </row>
    <row r="100" customFormat="false" ht="15" hidden="false" customHeight="false" outlineLevel="0" collapsed="false">
      <c r="A100" s="2" t="n">
        <v>99</v>
      </c>
      <c r="B100" s="2" t="s">
        <v>254</v>
      </c>
      <c r="C100" s="12" t="n">
        <v>45945</v>
      </c>
      <c r="D100" s="2" t="s">
        <v>223</v>
      </c>
      <c r="E100" s="2" t="s">
        <v>61</v>
      </c>
      <c r="F100" s="2" t="s">
        <v>62</v>
      </c>
      <c r="G100" s="2" t="s">
        <v>59</v>
      </c>
      <c r="H100" s="2" t="s">
        <v>60</v>
      </c>
      <c r="I100" s="9" t="n">
        <v>2</v>
      </c>
      <c r="J100" s="3" t="n">
        <v>18.9</v>
      </c>
      <c r="K100" s="3" t="n">
        <v>37.8</v>
      </c>
      <c r="L100" s="4" t="n">
        <v>0</v>
      </c>
      <c r="M100" s="3" t="n">
        <v>0</v>
      </c>
      <c r="N100" s="3" t="n">
        <v>0</v>
      </c>
      <c r="O100" s="3" t="n">
        <f aca="false">K100-M100-N100</f>
        <v>37.8</v>
      </c>
      <c r="P100" s="4" t="n">
        <v>0.21</v>
      </c>
      <c r="Q100" s="3" t="n">
        <v>31.24</v>
      </c>
      <c r="R100" s="3" t="n">
        <f aca="false">O100-Q100</f>
        <v>6.56</v>
      </c>
      <c r="S100" s="3" t="n">
        <v>13</v>
      </c>
      <c r="T100" s="3" t="n">
        <f aca="false">Q100-S100</f>
        <v>18.24</v>
      </c>
      <c r="U100" s="4" t="n">
        <f aca="false">IF(Q100=0,0,T100/Q100)</f>
        <v>0.583866837387964</v>
      </c>
      <c r="V100" s="2" t="s">
        <v>148</v>
      </c>
      <c r="W100" s="2" t="s">
        <v>156</v>
      </c>
      <c r="X100" s="2" t="s">
        <v>132</v>
      </c>
    </row>
    <row r="101" customFormat="false" ht="15" hidden="false" customHeight="false" outlineLevel="0" collapsed="false">
      <c r="A101" s="5" t="n">
        <v>100</v>
      </c>
      <c r="B101" s="5" t="s">
        <v>254</v>
      </c>
      <c r="C101" s="13" t="n">
        <v>45945</v>
      </c>
      <c r="D101" s="5" t="s">
        <v>223</v>
      </c>
      <c r="E101" s="5" t="s">
        <v>31</v>
      </c>
      <c r="F101" s="5" t="s">
        <v>32</v>
      </c>
      <c r="G101" s="5" t="s">
        <v>33</v>
      </c>
      <c r="H101" s="5" t="s">
        <v>23</v>
      </c>
      <c r="I101" s="11" t="n">
        <v>1</v>
      </c>
      <c r="J101" s="6" t="n">
        <v>89.9</v>
      </c>
      <c r="K101" s="6" t="n">
        <v>89.9</v>
      </c>
      <c r="L101" s="7" t="n">
        <v>0.05</v>
      </c>
      <c r="M101" s="6" t="n">
        <v>4.5</v>
      </c>
      <c r="N101" s="6" t="n">
        <v>0</v>
      </c>
      <c r="O101" s="6" t="n">
        <f aca="false">K101-M101-N101</f>
        <v>85.4</v>
      </c>
      <c r="P101" s="7" t="n">
        <v>0.21</v>
      </c>
      <c r="Q101" s="6" t="n">
        <v>70.58</v>
      </c>
      <c r="R101" s="6" t="n">
        <f aca="false">O101-Q101</f>
        <v>14.82</v>
      </c>
      <c r="S101" s="6" t="n">
        <v>48</v>
      </c>
      <c r="T101" s="6" t="n">
        <f aca="false">Q101-S101</f>
        <v>22.58</v>
      </c>
      <c r="U101" s="7" t="n">
        <f aca="false">IF(Q101=0,0,T101/Q101)</f>
        <v>0.319920657410031</v>
      </c>
      <c r="V101" s="5" t="s">
        <v>148</v>
      </c>
      <c r="W101" s="5" t="s">
        <v>156</v>
      </c>
      <c r="X101" s="5" t="s">
        <v>132</v>
      </c>
    </row>
    <row r="102" customFormat="false" ht="15" hidden="false" customHeight="false" outlineLevel="0" collapsed="false">
      <c r="A102" s="2" t="n">
        <v>101</v>
      </c>
      <c r="B102" s="2" t="s">
        <v>255</v>
      </c>
      <c r="C102" s="12" t="n">
        <v>45946</v>
      </c>
      <c r="D102" s="2" t="s">
        <v>127</v>
      </c>
      <c r="E102" s="2" t="s">
        <v>77</v>
      </c>
      <c r="F102" s="2" t="s">
        <v>78</v>
      </c>
      <c r="G102" s="2" t="s">
        <v>79</v>
      </c>
      <c r="H102" s="2" t="s">
        <v>80</v>
      </c>
      <c r="I102" s="9" t="n">
        <v>3</v>
      </c>
      <c r="J102" s="3" t="n">
        <v>59.9</v>
      </c>
      <c r="K102" s="3" t="n">
        <v>179.7</v>
      </c>
      <c r="L102" s="4" t="n">
        <v>0</v>
      </c>
      <c r="M102" s="3" t="n">
        <v>0</v>
      </c>
      <c r="N102" s="3" t="n">
        <v>0</v>
      </c>
      <c r="O102" s="3" t="n">
        <f aca="false">K102-M102-N102</f>
        <v>179.7</v>
      </c>
      <c r="P102" s="4" t="n">
        <v>0.21</v>
      </c>
      <c r="Q102" s="3" t="n">
        <v>148.51</v>
      </c>
      <c r="R102" s="3" t="n">
        <f aca="false">O102-Q102</f>
        <v>31.19</v>
      </c>
      <c r="S102" s="3" t="n">
        <v>72</v>
      </c>
      <c r="T102" s="3" t="n">
        <f aca="false">Q102-S102</f>
        <v>76.51</v>
      </c>
      <c r="U102" s="4" t="n">
        <f aca="false">IF(Q102=0,0,T102/Q102)</f>
        <v>0.515184162682648</v>
      </c>
      <c r="V102" s="2" t="s">
        <v>126</v>
      </c>
      <c r="W102" s="2" t="s">
        <v>156</v>
      </c>
      <c r="X102" s="2" t="s">
        <v>132</v>
      </c>
    </row>
    <row r="103" customFormat="false" ht="15" hidden="false" customHeight="false" outlineLevel="0" collapsed="false">
      <c r="A103" s="5" t="n">
        <v>102</v>
      </c>
      <c r="B103" s="5" t="s">
        <v>255</v>
      </c>
      <c r="C103" s="13" t="n">
        <v>45946</v>
      </c>
      <c r="D103" s="5" t="s">
        <v>127</v>
      </c>
      <c r="E103" s="5" t="s">
        <v>47</v>
      </c>
      <c r="F103" s="5" t="s">
        <v>48</v>
      </c>
      <c r="G103" s="5" t="s">
        <v>44</v>
      </c>
      <c r="H103" s="5" t="s">
        <v>39</v>
      </c>
      <c r="I103" s="11" t="n">
        <v>1</v>
      </c>
      <c r="J103" s="6" t="n">
        <v>34.9</v>
      </c>
      <c r="K103" s="6" t="n">
        <v>34.9</v>
      </c>
      <c r="L103" s="7" t="n">
        <v>0</v>
      </c>
      <c r="M103" s="6" t="n">
        <v>0</v>
      </c>
      <c r="N103" s="6" t="n">
        <v>0</v>
      </c>
      <c r="O103" s="6" t="n">
        <f aca="false">K103-M103-N103</f>
        <v>34.9</v>
      </c>
      <c r="P103" s="7" t="n">
        <v>0.21</v>
      </c>
      <c r="Q103" s="6" t="n">
        <v>28.84</v>
      </c>
      <c r="R103" s="6" t="n">
        <f aca="false">O103-Q103</f>
        <v>6.06</v>
      </c>
      <c r="S103" s="6" t="n">
        <v>14</v>
      </c>
      <c r="T103" s="6" t="n">
        <f aca="false">Q103-S103</f>
        <v>14.84</v>
      </c>
      <c r="U103" s="7" t="n">
        <f aca="false">IF(Q103=0,0,T103/Q103)</f>
        <v>0.514563106796117</v>
      </c>
      <c r="V103" s="5" t="s">
        <v>126</v>
      </c>
      <c r="W103" s="5" t="s">
        <v>156</v>
      </c>
      <c r="X103" s="5" t="s">
        <v>132</v>
      </c>
    </row>
    <row r="104" customFormat="false" ht="15" hidden="false" customHeight="false" outlineLevel="0" collapsed="false">
      <c r="A104" s="2" t="n">
        <v>103</v>
      </c>
      <c r="B104" s="2" t="s">
        <v>255</v>
      </c>
      <c r="C104" s="12" t="n">
        <v>45946</v>
      </c>
      <c r="D104" s="2" t="s">
        <v>127</v>
      </c>
      <c r="E104" s="2" t="s">
        <v>98</v>
      </c>
      <c r="F104" s="2" t="s">
        <v>99</v>
      </c>
      <c r="G104" s="2" t="s">
        <v>94</v>
      </c>
      <c r="H104" s="2" t="s">
        <v>95</v>
      </c>
      <c r="I104" s="9" t="n">
        <v>1</v>
      </c>
      <c r="J104" s="3" t="n">
        <v>2.99</v>
      </c>
      <c r="K104" s="3" t="n">
        <v>2.99</v>
      </c>
      <c r="L104" s="4" t="n">
        <v>0</v>
      </c>
      <c r="M104" s="3" t="n">
        <v>0</v>
      </c>
      <c r="N104" s="3" t="n">
        <v>0</v>
      </c>
      <c r="O104" s="3" t="n">
        <f aca="false">K104-M104-N104</f>
        <v>2.99</v>
      </c>
      <c r="P104" s="4" t="n">
        <v>0.1</v>
      </c>
      <c r="Q104" s="3" t="n">
        <v>2.72</v>
      </c>
      <c r="R104" s="3" t="n">
        <f aca="false">O104-Q104</f>
        <v>0.27</v>
      </c>
      <c r="S104" s="3" t="n">
        <v>1.2</v>
      </c>
      <c r="T104" s="3" t="n">
        <f aca="false">Q104-S104</f>
        <v>1.52</v>
      </c>
      <c r="U104" s="4" t="n">
        <f aca="false">IF(Q104=0,0,T104/Q104)</f>
        <v>0.558823529411765</v>
      </c>
      <c r="V104" s="2" t="s">
        <v>126</v>
      </c>
      <c r="W104" s="2" t="s">
        <v>156</v>
      </c>
      <c r="X104" s="2" t="s">
        <v>132</v>
      </c>
    </row>
    <row r="105" customFormat="false" ht="15" hidden="false" customHeight="false" outlineLevel="0" collapsed="false">
      <c r="A105" s="5" t="n">
        <v>104</v>
      </c>
      <c r="B105" s="5" t="s">
        <v>255</v>
      </c>
      <c r="C105" s="13" t="n">
        <v>45946</v>
      </c>
      <c r="D105" s="5" t="s">
        <v>127</v>
      </c>
      <c r="E105" s="5" t="s">
        <v>92</v>
      </c>
      <c r="F105" s="5" t="s">
        <v>93</v>
      </c>
      <c r="G105" s="5" t="s">
        <v>94</v>
      </c>
      <c r="H105" s="5" t="s">
        <v>95</v>
      </c>
      <c r="I105" s="11" t="n">
        <v>2</v>
      </c>
      <c r="J105" s="6" t="n">
        <v>4.49</v>
      </c>
      <c r="K105" s="6" t="n">
        <v>8.98</v>
      </c>
      <c r="L105" s="7" t="n">
        <v>0.1</v>
      </c>
      <c r="M105" s="6" t="n">
        <v>0.9</v>
      </c>
      <c r="N105" s="6" t="n">
        <v>0</v>
      </c>
      <c r="O105" s="6" t="n">
        <f aca="false">K105-M105-N105</f>
        <v>8.08</v>
      </c>
      <c r="P105" s="7" t="n">
        <v>0.1</v>
      </c>
      <c r="Q105" s="6" t="n">
        <v>7.35</v>
      </c>
      <c r="R105" s="6" t="n">
        <f aca="false">O105-Q105</f>
        <v>0.73</v>
      </c>
      <c r="S105" s="6" t="n">
        <v>4.2</v>
      </c>
      <c r="T105" s="6" t="n">
        <f aca="false">Q105-S105</f>
        <v>3.15</v>
      </c>
      <c r="U105" s="7" t="n">
        <f aca="false">IF(Q105=0,0,T105/Q105)</f>
        <v>0.428571428571429</v>
      </c>
      <c r="V105" s="5" t="s">
        <v>126</v>
      </c>
      <c r="W105" s="5" t="s">
        <v>156</v>
      </c>
      <c r="X105" s="5" t="s">
        <v>132</v>
      </c>
    </row>
    <row r="106" customFormat="false" ht="15" hidden="false" customHeight="false" outlineLevel="0" collapsed="false">
      <c r="A106" s="2" t="n">
        <v>105</v>
      </c>
      <c r="B106" s="2" t="s">
        <v>256</v>
      </c>
      <c r="C106" s="12" t="n">
        <v>45947</v>
      </c>
      <c r="D106" s="2" t="s">
        <v>149</v>
      </c>
      <c r="E106" s="2" t="s">
        <v>89</v>
      </c>
      <c r="F106" s="2" t="s">
        <v>90</v>
      </c>
      <c r="G106" s="2" t="s">
        <v>91</v>
      </c>
      <c r="H106" s="2" t="s">
        <v>86</v>
      </c>
      <c r="I106" s="9" t="n">
        <v>3</v>
      </c>
      <c r="J106" s="3" t="n">
        <v>4.99</v>
      </c>
      <c r="K106" s="3" t="n">
        <v>14.97</v>
      </c>
      <c r="L106" s="4" t="n">
        <v>0</v>
      </c>
      <c r="M106" s="3" t="n">
        <v>0</v>
      </c>
      <c r="N106" s="3" t="n">
        <v>0</v>
      </c>
      <c r="O106" s="3" t="n">
        <f aca="false">K106-M106-N106</f>
        <v>14.97</v>
      </c>
      <c r="P106" s="4" t="n">
        <v>0.1</v>
      </c>
      <c r="Q106" s="3" t="n">
        <v>13.61</v>
      </c>
      <c r="R106" s="3" t="n">
        <f aca="false">O106-Q106</f>
        <v>1.36</v>
      </c>
      <c r="S106" s="3" t="n">
        <v>6.9</v>
      </c>
      <c r="T106" s="3" t="n">
        <f aca="false">Q106-S106</f>
        <v>6.71</v>
      </c>
      <c r="U106" s="4" t="n">
        <f aca="false">IF(Q106=0,0,T106/Q106)</f>
        <v>0.493019838354151</v>
      </c>
      <c r="V106" s="2" t="s">
        <v>138</v>
      </c>
      <c r="W106" s="2" t="s">
        <v>154</v>
      </c>
      <c r="X106" s="2" t="s">
        <v>132</v>
      </c>
    </row>
    <row r="107" customFormat="false" ht="15" hidden="false" customHeight="false" outlineLevel="0" collapsed="false">
      <c r="A107" s="5" t="n">
        <v>106</v>
      </c>
      <c r="B107" s="5" t="s">
        <v>257</v>
      </c>
      <c r="C107" s="13" t="n">
        <v>45948</v>
      </c>
      <c r="D107" s="5" t="s">
        <v>258</v>
      </c>
      <c r="E107" s="5" t="s">
        <v>11</v>
      </c>
      <c r="F107" s="5" t="s">
        <v>12</v>
      </c>
      <c r="G107" s="5" t="s">
        <v>13</v>
      </c>
      <c r="H107" s="5" t="s">
        <v>14</v>
      </c>
      <c r="I107" s="11" t="n">
        <v>2</v>
      </c>
      <c r="J107" s="6" t="n">
        <v>89.9</v>
      </c>
      <c r="K107" s="6" t="n">
        <v>179.8</v>
      </c>
      <c r="L107" s="7" t="n">
        <v>0</v>
      </c>
      <c r="M107" s="6" t="n">
        <v>0</v>
      </c>
      <c r="N107" s="6" t="n">
        <v>17.98</v>
      </c>
      <c r="O107" s="6" t="n">
        <f aca="false">K107-M107-N107</f>
        <v>161.82</v>
      </c>
      <c r="P107" s="7" t="n">
        <v>0.21</v>
      </c>
      <c r="Q107" s="6" t="n">
        <v>133.74</v>
      </c>
      <c r="R107" s="6" t="n">
        <f aca="false">O107-Q107</f>
        <v>28.08</v>
      </c>
      <c r="S107" s="6" t="n">
        <v>77</v>
      </c>
      <c r="T107" s="6" t="n">
        <f aca="false">Q107-S107</f>
        <v>56.74</v>
      </c>
      <c r="U107" s="7" t="n">
        <f aca="false">IF(Q107=0,0,T107/Q107)</f>
        <v>0.424256019141618</v>
      </c>
      <c r="V107" s="5" t="s">
        <v>126</v>
      </c>
      <c r="W107" s="5" t="s">
        <v>156</v>
      </c>
      <c r="X107" s="5" t="s">
        <v>132</v>
      </c>
    </row>
    <row r="108" customFormat="false" ht="15" hidden="false" customHeight="false" outlineLevel="0" collapsed="false">
      <c r="A108" s="2" t="n">
        <v>107</v>
      </c>
      <c r="B108" s="2" t="s">
        <v>257</v>
      </c>
      <c r="C108" s="12" t="n">
        <v>45948</v>
      </c>
      <c r="D108" s="2" t="s">
        <v>258</v>
      </c>
      <c r="E108" s="2" t="s">
        <v>83</v>
      </c>
      <c r="F108" s="2" t="s">
        <v>84</v>
      </c>
      <c r="G108" s="2" t="s">
        <v>85</v>
      </c>
      <c r="H108" s="2" t="s">
        <v>86</v>
      </c>
      <c r="I108" s="9" t="n">
        <v>3</v>
      </c>
      <c r="J108" s="3" t="n">
        <v>3.9</v>
      </c>
      <c r="K108" s="3" t="n">
        <v>11.7</v>
      </c>
      <c r="L108" s="4" t="n">
        <v>0</v>
      </c>
      <c r="M108" s="3" t="n">
        <v>0</v>
      </c>
      <c r="N108" s="3" t="n">
        <v>1.17</v>
      </c>
      <c r="O108" s="3" t="n">
        <f aca="false">K108-M108-N108</f>
        <v>10.53</v>
      </c>
      <c r="P108" s="4" t="n">
        <v>0.1</v>
      </c>
      <c r="Q108" s="3" t="n">
        <v>9.57</v>
      </c>
      <c r="R108" s="3" t="n">
        <f aca="false">O108-Q108</f>
        <v>0.959999999999999</v>
      </c>
      <c r="S108" s="3" t="n">
        <v>7.5</v>
      </c>
      <c r="T108" s="3" t="n">
        <f aca="false">Q108-S108</f>
        <v>2.07</v>
      </c>
      <c r="U108" s="4" t="n">
        <f aca="false">IF(Q108=0,0,T108/Q108)</f>
        <v>0.216300940438872</v>
      </c>
      <c r="V108" s="2" t="s">
        <v>126</v>
      </c>
      <c r="W108" s="2" t="s">
        <v>156</v>
      </c>
      <c r="X108" s="2" t="s">
        <v>132</v>
      </c>
    </row>
    <row r="109" customFormat="false" ht="15" hidden="false" customHeight="false" outlineLevel="0" collapsed="false">
      <c r="A109" s="5" t="n">
        <v>108</v>
      </c>
      <c r="B109" s="5" t="s">
        <v>257</v>
      </c>
      <c r="C109" s="13" t="n">
        <v>45948</v>
      </c>
      <c r="D109" s="5" t="s">
        <v>258</v>
      </c>
      <c r="E109" s="5" t="s">
        <v>20</v>
      </c>
      <c r="F109" s="5" t="s">
        <v>21</v>
      </c>
      <c r="G109" s="5" t="s">
        <v>22</v>
      </c>
      <c r="H109" s="5" t="s">
        <v>23</v>
      </c>
      <c r="I109" s="11" t="n">
        <v>2</v>
      </c>
      <c r="J109" s="6" t="n">
        <v>799</v>
      </c>
      <c r="K109" s="6" t="n">
        <v>1598</v>
      </c>
      <c r="L109" s="7" t="n">
        <v>0.15</v>
      </c>
      <c r="M109" s="6" t="n">
        <v>239.7</v>
      </c>
      <c r="N109" s="6" t="n">
        <v>135.83</v>
      </c>
      <c r="O109" s="6" t="n">
        <f aca="false">K109-M109-N109</f>
        <v>1222.47</v>
      </c>
      <c r="P109" s="7" t="n">
        <v>0.21</v>
      </c>
      <c r="Q109" s="6" t="n">
        <v>1010.31</v>
      </c>
      <c r="R109" s="6" t="n">
        <f aca="false">O109-Q109</f>
        <v>212.16</v>
      </c>
      <c r="S109" s="6" t="n">
        <v>1100</v>
      </c>
      <c r="T109" s="6" t="n">
        <f aca="false">Q109-S109</f>
        <v>-89.6900000000001</v>
      </c>
      <c r="U109" s="7" t="n">
        <f aca="false">IF(Q109=0,0,T109/Q109)</f>
        <v>-0.0887747325078442</v>
      </c>
      <c r="V109" s="5" t="s">
        <v>126</v>
      </c>
      <c r="W109" s="5" t="s">
        <v>156</v>
      </c>
      <c r="X109" s="5" t="s">
        <v>132</v>
      </c>
    </row>
    <row r="110" customFormat="false" ht="15" hidden="false" customHeight="false" outlineLevel="0" collapsed="false">
      <c r="A110" s="2" t="n">
        <v>109</v>
      </c>
      <c r="B110" s="2" t="s">
        <v>257</v>
      </c>
      <c r="C110" s="12" t="n">
        <v>45948</v>
      </c>
      <c r="D110" s="2" t="s">
        <v>258</v>
      </c>
      <c r="E110" s="2" t="s">
        <v>69</v>
      </c>
      <c r="F110" s="2" t="s">
        <v>70</v>
      </c>
      <c r="G110" s="2" t="s">
        <v>71</v>
      </c>
      <c r="H110" s="2" t="s">
        <v>72</v>
      </c>
      <c r="I110" s="9" t="n">
        <v>1</v>
      </c>
      <c r="J110" s="3" t="n">
        <v>22.9</v>
      </c>
      <c r="K110" s="3" t="n">
        <v>22.9</v>
      </c>
      <c r="L110" s="4" t="n">
        <v>0</v>
      </c>
      <c r="M110" s="3" t="n">
        <v>0</v>
      </c>
      <c r="N110" s="3" t="n">
        <v>2.29</v>
      </c>
      <c r="O110" s="3" t="n">
        <f aca="false">K110-M110-N110</f>
        <v>20.61</v>
      </c>
      <c r="P110" s="4" t="n">
        <v>0.21</v>
      </c>
      <c r="Q110" s="3" t="n">
        <v>17.03</v>
      </c>
      <c r="R110" s="3" t="n">
        <f aca="false">O110-Q110</f>
        <v>3.58</v>
      </c>
      <c r="S110" s="3" t="n">
        <v>8</v>
      </c>
      <c r="T110" s="3" t="n">
        <f aca="false">Q110-S110</f>
        <v>9.03</v>
      </c>
      <c r="U110" s="4" t="n">
        <f aca="false">IF(Q110=0,0,T110/Q110)</f>
        <v>0.530240751614797</v>
      </c>
      <c r="V110" s="2" t="s">
        <v>126</v>
      </c>
      <c r="W110" s="2" t="s">
        <v>156</v>
      </c>
      <c r="X110" s="2" t="s">
        <v>132</v>
      </c>
    </row>
    <row r="111" customFormat="false" ht="15" hidden="false" customHeight="false" outlineLevel="0" collapsed="false">
      <c r="A111" s="5" t="n">
        <v>110</v>
      </c>
      <c r="B111" s="5" t="s">
        <v>257</v>
      </c>
      <c r="C111" s="13" t="n">
        <v>45948</v>
      </c>
      <c r="D111" s="5" t="s">
        <v>258</v>
      </c>
      <c r="E111" s="5" t="s">
        <v>87</v>
      </c>
      <c r="F111" s="5" t="s">
        <v>88</v>
      </c>
      <c r="G111" s="5" t="s">
        <v>85</v>
      </c>
      <c r="H111" s="5" t="s">
        <v>86</v>
      </c>
      <c r="I111" s="11" t="n">
        <v>3</v>
      </c>
      <c r="J111" s="6" t="n">
        <v>2.49</v>
      </c>
      <c r="K111" s="6" t="n">
        <v>7.47</v>
      </c>
      <c r="L111" s="7" t="n">
        <v>0.05</v>
      </c>
      <c r="M111" s="6" t="n">
        <v>0.37</v>
      </c>
      <c r="N111" s="6" t="n">
        <v>0.71</v>
      </c>
      <c r="O111" s="6" t="n">
        <f aca="false">K111-M111-N111</f>
        <v>6.39</v>
      </c>
      <c r="P111" s="7" t="n">
        <v>0.1</v>
      </c>
      <c r="Q111" s="6" t="n">
        <v>5.81</v>
      </c>
      <c r="R111" s="6" t="n">
        <f aca="false">O111-Q111</f>
        <v>0.58</v>
      </c>
      <c r="S111" s="6" t="n">
        <v>4.5</v>
      </c>
      <c r="T111" s="6" t="n">
        <f aca="false">Q111-S111</f>
        <v>1.31</v>
      </c>
      <c r="U111" s="7" t="n">
        <f aca="false">IF(Q111=0,0,T111/Q111)</f>
        <v>0.225473321858864</v>
      </c>
      <c r="V111" s="5" t="s">
        <v>126</v>
      </c>
      <c r="W111" s="5" t="s">
        <v>156</v>
      </c>
      <c r="X111" s="5" t="s">
        <v>132</v>
      </c>
    </row>
    <row r="112" customFormat="false" ht="15" hidden="false" customHeight="false" outlineLevel="0" collapsed="false">
      <c r="A112" s="2" t="n">
        <v>111</v>
      </c>
      <c r="B112" s="2" t="s">
        <v>262</v>
      </c>
      <c r="C112" s="12" t="n">
        <v>45949</v>
      </c>
      <c r="D112" s="2" t="s">
        <v>164</v>
      </c>
      <c r="E112" s="2" t="s">
        <v>77</v>
      </c>
      <c r="F112" s="2" t="s">
        <v>78</v>
      </c>
      <c r="G112" s="2" t="s">
        <v>79</v>
      </c>
      <c r="H112" s="2" t="s">
        <v>80</v>
      </c>
      <c r="I112" s="9" t="n">
        <v>6</v>
      </c>
      <c r="J112" s="3" t="n">
        <v>59.9</v>
      </c>
      <c r="K112" s="3" t="n">
        <v>359.4</v>
      </c>
      <c r="L112" s="4" t="n">
        <v>0.1</v>
      </c>
      <c r="M112" s="3" t="n">
        <v>35.94</v>
      </c>
      <c r="N112" s="3" t="n">
        <v>0</v>
      </c>
      <c r="O112" s="3" t="n">
        <f aca="false">K112-M112-N112</f>
        <v>323.46</v>
      </c>
      <c r="P112" s="4" t="n">
        <v>0.21</v>
      </c>
      <c r="Q112" s="3" t="n">
        <v>267.32</v>
      </c>
      <c r="R112" s="3" t="n">
        <f aca="false">O112-Q112</f>
        <v>56.14</v>
      </c>
      <c r="S112" s="3" t="n">
        <v>144</v>
      </c>
      <c r="T112" s="3" t="n">
        <f aca="false">Q112-S112</f>
        <v>123.32</v>
      </c>
      <c r="U112" s="4" t="n">
        <f aca="false">IF(Q112=0,0,T112/Q112)</f>
        <v>0.461319766571899</v>
      </c>
      <c r="V112" s="2" t="s">
        <v>126</v>
      </c>
      <c r="W112" s="2" t="s">
        <v>177</v>
      </c>
      <c r="X112" s="2" t="s">
        <v>132</v>
      </c>
    </row>
    <row r="113" customFormat="false" ht="15" hidden="false" customHeight="false" outlineLevel="0" collapsed="false">
      <c r="A113" s="5" t="n">
        <v>112</v>
      </c>
      <c r="B113" s="5" t="s">
        <v>263</v>
      </c>
      <c r="C113" s="13" t="n">
        <v>45949</v>
      </c>
      <c r="D113" s="5" t="s">
        <v>158</v>
      </c>
      <c r="E113" s="5" t="s">
        <v>18</v>
      </c>
      <c r="F113" s="5" t="s">
        <v>19</v>
      </c>
      <c r="G113" s="5" t="s">
        <v>13</v>
      </c>
      <c r="H113" s="5" t="s">
        <v>14</v>
      </c>
      <c r="I113" s="11" t="n">
        <v>2</v>
      </c>
      <c r="J113" s="6" t="n">
        <v>199</v>
      </c>
      <c r="K113" s="6" t="n">
        <v>398</v>
      </c>
      <c r="L113" s="7" t="n">
        <v>0.1</v>
      </c>
      <c r="M113" s="6" t="n">
        <v>39.8</v>
      </c>
      <c r="N113" s="6" t="n">
        <v>0</v>
      </c>
      <c r="O113" s="6" t="n">
        <f aca="false">K113-M113-N113</f>
        <v>358.2</v>
      </c>
      <c r="P113" s="7" t="n">
        <v>0.21</v>
      </c>
      <c r="Q113" s="6" t="n">
        <v>296.03</v>
      </c>
      <c r="R113" s="6" t="n">
        <f aca="false">O113-Q113</f>
        <v>62.17</v>
      </c>
      <c r="S113" s="6" t="n">
        <v>190</v>
      </c>
      <c r="T113" s="6" t="n">
        <f aca="false">Q113-S113</f>
        <v>106.03</v>
      </c>
      <c r="U113" s="7" t="n">
        <f aca="false">IF(Q113=0,0,T113/Q113)</f>
        <v>0.358173158125866</v>
      </c>
      <c r="V113" s="5" t="s">
        <v>148</v>
      </c>
      <c r="W113" s="5" t="s">
        <v>156</v>
      </c>
      <c r="X113" s="5" t="s">
        <v>132</v>
      </c>
    </row>
    <row r="114" customFormat="false" ht="15" hidden="false" customHeight="false" outlineLevel="0" collapsed="false">
      <c r="A114" s="2" t="n">
        <v>113</v>
      </c>
      <c r="B114" s="2" t="s">
        <v>264</v>
      </c>
      <c r="C114" s="12" t="n">
        <v>45950</v>
      </c>
      <c r="D114" s="2" t="s">
        <v>127</v>
      </c>
      <c r="E114" s="2" t="s">
        <v>53</v>
      </c>
      <c r="F114" s="2" t="s">
        <v>54</v>
      </c>
      <c r="G114" s="2" t="s">
        <v>51</v>
      </c>
      <c r="H114" s="2" t="s">
        <v>52</v>
      </c>
      <c r="I114" s="9" t="n">
        <v>2</v>
      </c>
      <c r="J114" s="3" t="n">
        <v>59.9</v>
      </c>
      <c r="K114" s="3" t="n">
        <v>119.8</v>
      </c>
      <c r="L114" s="4" t="n">
        <v>0</v>
      </c>
      <c r="M114" s="3" t="n">
        <v>0</v>
      </c>
      <c r="N114" s="3" t="n">
        <v>17.97</v>
      </c>
      <c r="O114" s="3" t="n">
        <f aca="false">K114-M114-N114</f>
        <v>101.83</v>
      </c>
      <c r="P114" s="4" t="n">
        <v>0.21</v>
      </c>
      <c r="Q114" s="3" t="n">
        <v>84.16</v>
      </c>
      <c r="R114" s="3" t="n">
        <f aca="false">O114-Q114</f>
        <v>17.67</v>
      </c>
      <c r="S114" s="3" t="n">
        <v>52</v>
      </c>
      <c r="T114" s="3" t="n">
        <f aca="false">Q114-S114</f>
        <v>32.16</v>
      </c>
      <c r="U114" s="4" t="n">
        <f aca="false">IF(Q114=0,0,T114/Q114)</f>
        <v>0.38212927756654</v>
      </c>
      <c r="V114" s="2" t="s">
        <v>126</v>
      </c>
      <c r="W114" s="2" t="s">
        <v>156</v>
      </c>
      <c r="X114" s="2" t="s">
        <v>132</v>
      </c>
    </row>
    <row r="115" customFormat="false" ht="15" hidden="false" customHeight="false" outlineLevel="0" collapsed="false">
      <c r="A115" s="5" t="n">
        <v>114</v>
      </c>
      <c r="B115" s="5" t="s">
        <v>264</v>
      </c>
      <c r="C115" s="13" t="n">
        <v>45950</v>
      </c>
      <c r="D115" s="5" t="s">
        <v>127</v>
      </c>
      <c r="E115" s="5" t="s">
        <v>98</v>
      </c>
      <c r="F115" s="5" t="s">
        <v>99</v>
      </c>
      <c r="G115" s="5" t="s">
        <v>94</v>
      </c>
      <c r="H115" s="5" t="s">
        <v>95</v>
      </c>
      <c r="I115" s="11" t="n">
        <v>2</v>
      </c>
      <c r="J115" s="6" t="n">
        <v>2.99</v>
      </c>
      <c r="K115" s="6" t="n">
        <v>5.98</v>
      </c>
      <c r="L115" s="7" t="n">
        <v>0</v>
      </c>
      <c r="M115" s="6" t="n">
        <v>0</v>
      </c>
      <c r="N115" s="6" t="n">
        <v>0.9</v>
      </c>
      <c r="O115" s="6" t="n">
        <f aca="false">K115-M115-N115</f>
        <v>5.08</v>
      </c>
      <c r="P115" s="7" t="n">
        <v>0.1</v>
      </c>
      <c r="Q115" s="6" t="n">
        <v>4.62</v>
      </c>
      <c r="R115" s="6" t="n">
        <f aca="false">O115-Q115</f>
        <v>0.46</v>
      </c>
      <c r="S115" s="6" t="n">
        <v>2.4</v>
      </c>
      <c r="T115" s="6" t="n">
        <f aca="false">Q115-S115</f>
        <v>2.22</v>
      </c>
      <c r="U115" s="7" t="n">
        <f aca="false">IF(Q115=0,0,T115/Q115)</f>
        <v>0.480519480519481</v>
      </c>
      <c r="V115" s="5" t="s">
        <v>126</v>
      </c>
      <c r="W115" s="5" t="s">
        <v>156</v>
      </c>
      <c r="X115" s="5" t="s">
        <v>132</v>
      </c>
    </row>
    <row r="116" customFormat="false" ht="15" hidden="false" customHeight="false" outlineLevel="0" collapsed="false">
      <c r="A116" s="2" t="n">
        <v>115</v>
      </c>
      <c r="B116" s="2" t="s">
        <v>265</v>
      </c>
      <c r="C116" s="12" t="n">
        <v>45952</v>
      </c>
      <c r="D116" s="2" t="s">
        <v>127</v>
      </c>
      <c r="E116" s="2" t="s">
        <v>87</v>
      </c>
      <c r="F116" s="2" t="s">
        <v>88</v>
      </c>
      <c r="G116" s="2" t="s">
        <v>85</v>
      </c>
      <c r="H116" s="2" t="s">
        <v>86</v>
      </c>
      <c r="I116" s="9" t="n">
        <v>12</v>
      </c>
      <c r="J116" s="3" t="n">
        <v>2.49</v>
      </c>
      <c r="K116" s="3" t="n">
        <v>29.88</v>
      </c>
      <c r="L116" s="4" t="n">
        <v>0</v>
      </c>
      <c r="M116" s="3" t="n">
        <v>0</v>
      </c>
      <c r="N116" s="3" t="n">
        <v>0</v>
      </c>
      <c r="O116" s="3" t="n">
        <f aca="false">K116-M116-N116</f>
        <v>29.88</v>
      </c>
      <c r="P116" s="4" t="n">
        <v>0.1</v>
      </c>
      <c r="Q116" s="3" t="n">
        <v>27.16</v>
      </c>
      <c r="R116" s="3" t="n">
        <f aca="false">O116-Q116</f>
        <v>2.72</v>
      </c>
      <c r="S116" s="3" t="n">
        <v>18</v>
      </c>
      <c r="T116" s="3" t="n">
        <f aca="false">Q116-S116</f>
        <v>9.16</v>
      </c>
      <c r="U116" s="4" t="n">
        <f aca="false">IF(Q116=0,0,T116/Q116)</f>
        <v>0.337260677466863</v>
      </c>
      <c r="V116" s="2" t="s">
        <v>138</v>
      </c>
      <c r="W116" s="2" t="s">
        <v>177</v>
      </c>
      <c r="X116" s="2" t="s">
        <v>132</v>
      </c>
    </row>
    <row r="117" customFormat="false" ht="15" hidden="false" customHeight="false" outlineLevel="0" collapsed="false">
      <c r="A117" s="5" t="n">
        <v>116</v>
      </c>
      <c r="B117" s="5" t="s">
        <v>266</v>
      </c>
      <c r="C117" s="13" t="n">
        <v>45952</v>
      </c>
      <c r="D117" s="5" t="s">
        <v>217</v>
      </c>
      <c r="E117" s="5" t="s">
        <v>92</v>
      </c>
      <c r="F117" s="5" t="s">
        <v>93</v>
      </c>
      <c r="G117" s="5" t="s">
        <v>94</v>
      </c>
      <c r="H117" s="5" t="s">
        <v>95</v>
      </c>
      <c r="I117" s="11" t="n">
        <v>12</v>
      </c>
      <c r="J117" s="6" t="n">
        <v>4.49</v>
      </c>
      <c r="K117" s="6" t="n">
        <v>53.88</v>
      </c>
      <c r="L117" s="7" t="n">
        <v>0</v>
      </c>
      <c r="M117" s="6" t="n">
        <v>0</v>
      </c>
      <c r="N117" s="6" t="n">
        <v>0</v>
      </c>
      <c r="O117" s="6" t="n">
        <f aca="false">K117-M117-N117</f>
        <v>53.88</v>
      </c>
      <c r="P117" s="7" t="n">
        <v>0.1</v>
      </c>
      <c r="Q117" s="6" t="n">
        <v>48.98</v>
      </c>
      <c r="R117" s="6" t="n">
        <f aca="false">O117-Q117</f>
        <v>4.90000000000001</v>
      </c>
      <c r="S117" s="6" t="n">
        <v>25.2</v>
      </c>
      <c r="T117" s="6" t="n">
        <f aca="false">Q117-S117</f>
        <v>23.78</v>
      </c>
      <c r="U117" s="7" t="n">
        <f aca="false">IF(Q117=0,0,T117/Q117)</f>
        <v>0.485504287464271</v>
      </c>
      <c r="V117" s="5" t="s">
        <v>193</v>
      </c>
      <c r="W117" s="5" t="s">
        <v>156</v>
      </c>
      <c r="X117" s="5" t="s">
        <v>132</v>
      </c>
    </row>
    <row r="118" customFormat="false" ht="15" hidden="false" customHeight="false" outlineLevel="0" collapsed="false">
      <c r="A118" s="2" t="n">
        <v>117</v>
      </c>
      <c r="B118" s="2" t="s">
        <v>267</v>
      </c>
      <c r="C118" s="12" t="n">
        <v>45953</v>
      </c>
      <c r="D118" s="2" t="s">
        <v>202</v>
      </c>
      <c r="E118" s="2" t="s">
        <v>26</v>
      </c>
      <c r="F118" s="2" t="s">
        <v>27</v>
      </c>
      <c r="G118" s="2" t="s">
        <v>22</v>
      </c>
      <c r="H118" s="2" t="s">
        <v>23</v>
      </c>
      <c r="I118" s="9" t="n">
        <v>4</v>
      </c>
      <c r="J118" s="3" t="n">
        <v>79.9</v>
      </c>
      <c r="K118" s="3" t="n">
        <v>319.6</v>
      </c>
      <c r="L118" s="4" t="n">
        <v>0.1</v>
      </c>
      <c r="M118" s="3" t="n">
        <v>31.96</v>
      </c>
      <c r="N118" s="3" t="n">
        <v>57.53</v>
      </c>
      <c r="O118" s="3" t="n">
        <f aca="false">K118-M118-N118</f>
        <v>230.11</v>
      </c>
      <c r="P118" s="4" t="n">
        <v>0.21</v>
      </c>
      <c r="Q118" s="3" t="n">
        <v>190.17</v>
      </c>
      <c r="R118" s="3" t="n">
        <f aca="false">O118-Q118</f>
        <v>39.9400000000001</v>
      </c>
      <c r="S118" s="3" t="n">
        <v>136</v>
      </c>
      <c r="T118" s="3" t="n">
        <f aca="false">Q118-S118</f>
        <v>54.17</v>
      </c>
      <c r="U118" s="4" t="n">
        <f aca="false">IF(Q118=0,0,T118/Q118)</f>
        <v>0.284850397013199</v>
      </c>
      <c r="V118" s="2" t="s">
        <v>126</v>
      </c>
      <c r="W118" s="2" t="s">
        <v>177</v>
      </c>
      <c r="X118" s="2" t="s">
        <v>132</v>
      </c>
    </row>
    <row r="119" customFormat="false" ht="15" hidden="false" customHeight="false" outlineLevel="0" collapsed="false">
      <c r="A119" s="5" t="n">
        <v>118</v>
      </c>
      <c r="B119" s="5" t="s">
        <v>267</v>
      </c>
      <c r="C119" s="13" t="n">
        <v>45953</v>
      </c>
      <c r="D119" s="5" t="s">
        <v>202</v>
      </c>
      <c r="E119" s="5" t="s">
        <v>61</v>
      </c>
      <c r="F119" s="5" t="s">
        <v>62</v>
      </c>
      <c r="G119" s="5" t="s">
        <v>59</v>
      </c>
      <c r="H119" s="5" t="s">
        <v>60</v>
      </c>
      <c r="I119" s="11" t="n">
        <v>2</v>
      </c>
      <c r="J119" s="6" t="n">
        <v>18.9</v>
      </c>
      <c r="K119" s="6" t="n">
        <v>37.8</v>
      </c>
      <c r="L119" s="7" t="n">
        <v>0</v>
      </c>
      <c r="M119" s="6" t="n">
        <v>0</v>
      </c>
      <c r="N119" s="6" t="n">
        <v>7.56</v>
      </c>
      <c r="O119" s="6" t="n">
        <f aca="false">K119-M119-N119</f>
        <v>30.24</v>
      </c>
      <c r="P119" s="7" t="n">
        <v>0.21</v>
      </c>
      <c r="Q119" s="6" t="n">
        <v>24.99</v>
      </c>
      <c r="R119" s="6" t="n">
        <f aca="false">O119-Q119</f>
        <v>5.25</v>
      </c>
      <c r="S119" s="6" t="n">
        <v>13</v>
      </c>
      <c r="T119" s="6" t="n">
        <f aca="false">Q119-S119</f>
        <v>11.99</v>
      </c>
      <c r="U119" s="7" t="n">
        <f aca="false">IF(Q119=0,0,T119/Q119)</f>
        <v>0.479791916766707</v>
      </c>
      <c r="V119" s="5" t="s">
        <v>126</v>
      </c>
      <c r="W119" s="5" t="s">
        <v>177</v>
      </c>
      <c r="X119" s="5" t="s">
        <v>132</v>
      </c>
    </row>
    <row r="120" customFormat="false" ht="15" hidden="false" customHeight="false" outlineLevel="0" collapsed="false">
      <c r="A120" s="2" t="n">
        <v>119</v>
      </c>
      <c r="B120" s="2" t="s">
        <v>268</v>
      </c>
      <c r="C120" s="12" t="n">
        <v>45955</v>
      </c>
      <c r="D120" s="2" t="s">
        <v>164</v>
      </c>
      <c r="E120" s="2" t="s">
        <v>18</v>
      </c>
      <c r="F120" s="2" t="s">
        <v>19</v>
      </c>
      <c r="G120" s="2" t="s">
        <v>13</v>
      </c>
      <c r="H120" s="2" t="s">
        <v>14</v>
      </c>
      <c r="I120" s="9" t="n">
        <v>2</v>
      </c>
      <c r="J120" s="3" t="n">
        <v>199</v>
      </c>
      <c r="K120" s="3" t="n">
        <v>398</v>
      </c>
      <c r="L120" s="4" t="n">
        <v>0</v>
      </c>
      <c r="M120" s="3" t="n">
        <v>0</v>
      </c>
      <c r="N120" s="3" t="n">
        <v>0</v>
      </c>
      <c r="O120" s="3" t="n">
        <f aca="false">K120-M120-N120</f>
        <v>398</v>
      </c>
      <c r="P120" s="4" t="n">
        <v>0.21</v>
      </c>
      <c r="Q120" s="3" t="n">
        <v>328.93</v>
      </c>
      <c r="R120" s="3" t="n">
        <f aca="false">O120-Q120</f>
        <v>69.07</v>
      </c>
      <c r="S120" s="3" t="n">
        <v>190</v>
      </c>
      <c r="T120" s="3" t="n">
        <f aca="false">Q120-S120</f>
        <v>138.93</v>
      </c>
      <c r="U120" s="4" t="n">
        <f aca="false">IF(Q120=0,0,T120/Q120)</f>
        <v>0.422369501109659</v>
      </c>
      <c r="V120" s="2" t="s">
        <v>126</v>
      </c>
      <c r="W120" s="2" t="s">
        <v>156</v>
      </c>
      <c r="X120" s="2" t="s">
        <v>132</v>
      </c>
    </row>
    <row r="121" customFormat="false" ht="15" hidden="false" customHeight="false" outlineLevel="0" collapsed="false">
      <c r="A121" s="5" t="n">
        <v>120</v>
      </c>
      <c r="B121" s="5" t="s">
        <v>268</v>
      </c>
      <c r="C121" s="13" t="n">
        <v>45955</v>
      </c>
      <c r="D121" s="5" t="s">
        <v>164</v>
      </c>
      <c r="E121" s="5" t="s">
        <v>47</v>
      </c>
      <c r="F121" s="5" t="s">
        <v>48</v>
      </c>
      <c r="G121" s="5" t="s">
        <v>44</v>
      </c>
      <c r="H121" s="5" t="s">
        <v>39</v>
      </c>
      <c r="I121" s="11" t="n">
        <v>1</v>
      </c>
      <c r="J121" s="6" t="n">
        <v>34.9</v>
      </c>
      <c r="K121" s="6" t="n">
        <v>34.9</v>
      </c>
      <c r="L121" s="7" t="n">
        <v>0.15</v>
      </c>
      <c r="M121" s="6" t="n">
        <v>5.24</v>
      </c>
      <c r="N121" s="6" t="n">
        <v>0</v>
      </c>
      <c r="O121" s="6" t="n">
        <f aca="false">K121-M121-N121</f>
        <v>29.66</v>
      </c>
      <c r="P121" s="7" t="n">
        <v>0.21</v>
      </c>
      <c r="Q121" s="6" t="n">
        <v>24.51</v>
      </c>
      <c r="R121" s="6" t="n">
        <f aca="false">O121-Q121</f>
        <v>5.15</v>
      </c>
      <c r="S121" s="6" t="n">
        <v>14</v>
      </c>
      <c r="T121" s="6" t="n">
        <f aca="false">Q121-S121</f>
        <v>10.51</v>
      </c>
      <c r="U121" s="7" t="n">
        <f aca="false">IF(Q121=0,0,T121/Q121)</f>
        <v>0.428804569563444</v>
      </c>
      <c r="V121" s="5" t="s">
        <v>126</v>
      </c>
      <c r="W121" s="5" t="s">
        <v>156</v>
      </c>
      <c r="X121" s="5" t="s">
        <v>132</v>
      </c>
    </row>
    <row r="122" customFormat="false" ht="15" hidden="false" customHeight="false" outlineLevel="0" collapsed="false">
      <c r="A122" s="2" t="n">
        <v>121</v>
      </c>
      <c r="B122" s="2" t="s">
        <v>269</v>
      </c>
      <c r="C122" s="12" t="n">
        <v>45956</v>
      </c>
      <c r="D122" s="2" t="s">
        <v>164</v>
      </c>
      <c r="E122" s="2" t="s">
        <v>31</v>
      </c>
      <c r="F122" s="2" t="s">
        <v>32</v>
      </c>
      <c r="G122" s="2" t="s">
        <v>33</v>
      </c>
      <c r="H122" s="2" t="s">
        <v>23</v>
      </c>
      <c r="I122" s="9" t="n">
        <v>1</v>
      </c>
      <c r="J122" s="3" t="n">
        <v>89.9</v>
      </c>
      <c r="K122" s="3" t="n">
        <v>89.9</v>
      </c>
      <c r="L122" s="4" t="n">
        <v>0</v>
      </c>
      <c r="M122" s="3" t="n">
        <v>0</v>
      </c>
      <c r="N122" s="3" t="n">
        <v>0</v>
      </c>
      <c r="O122" s="3" t="n">
        <f aca="false">K122-M122-N122</f>
        <v>89.9</v>
      </c>
      <c r="P122" s="4" t="n">
        <v>0.21</v>
      </c>
      <c r="Q122" s="3" t="n">
        <v>74.3</v>
      </c>
      <c r="R122" s="3" t="n">
        <f aca="false">O122-Q122</f>
        <v>15.6</v>
      </c>
      <c r="S122" s="3" t="n">
        <v>48</v>
      </c>
      <c r="T122" s="3" t="n">
        <f aca="false">Q122-S122</f>
        <v>26.3</v>
      </c>
      <c r="U122" s="4" t="n">
        <f aca="false">IF(Q122=0,0,T122/Q122)</f>
        <v>0.353970390309556</v>
      </c>
      <c r="V122" s="2" t="s">
        <v>138</v>
      </c>
      <c r="W122" s="2" t="s">
        <v>156</v>
      </c>
      <c r="X122" s="2" t="s">
        <v>132</v>
      </c>
    </row>
    <row r="123" customFormat="false" ht="15" hidden="false" customHeight="false" outlineLevel="0" collapsed="false">
      <c r="A123" s="5" t="n">
        <v>122</v>
      </c>
      <c r="B123" s="5" t="s">
        <v>269</v>
      </c>
      <c r="C123" s="13" t="n">
        <v>45956</v>
      </c>
      <c r="D123" s="5" t="s">
        <v>164</v>
      </c>
      <c r="E123" s="5" t="s">
        <v>42</v>
      </c>
      <c r="F123" s="5" t="s">
        <v>43</v>
      </c>
      <c r="G123" s="5" t="s">
        <v>44</v>
      </c>
      <c r="H123" s="5" t="s">
        <v>39</v>
      </c>
      <c r="I123" s="11" t="n">
        <v>1</v>
      </c>
      <c r="J123" s="6" t="n">
        <v>24.9</v>
      </c>
      <c r="K123" s="6" t="n">
        <v>24.9</v>
      </c>
      <c r="L123" s="7" t="n">
        <v>0</v>
      </c>
      <c r="M123" s="6" t="n">
        <v>0</v>
      </c>
      <c r="N123" s="6" t="n">
        <v>0</v>
      </c>
      <c r="O123" s="6" t="n">
        <f aca="false">K123-M123-N123</f>
        <v>24.9</v>
      </c>
      <c r="P123" s="7" t="n">
        <v>0.21</v>
      </c>
      <c r="Q123" s="6" t="n">
        <v>20.58</v>
      </c>
      <c r="R123" s="6" t="n">
        <f aca="false">O123-Q123</f>
        <v>4.32</v>
      </c>
      <c r="S123" s="6" t="n">
        <v>8.5</v>
      </c>
      <c r="T123" s="6" t="n">
        <f aca="false">Q123-S123</f>
        <v>12.08</v>
      </c>
      <c r="U123" s="7" t="n">
        <f aca="false">IF(Q123=0,0,T123/Q123)</f>
        <v>0.586977648202138</v>
      </c>
      <c r="V123" s="5" t="s">
        <v>138</v>
      </c>
      <c r="W123" s="5" t="s">
        <v>156</v>
      </c>
      <c r="X123" s="5" t="s">
        <v>132</v>
      </c>
    </row>
    <row r="124" customFormat="false" ht="15" hidden="false" customHeight="false" outlineLevel="0" collapsed="false">
      <c r="A124" s="2" t="n">
        <v>123</v>
      </c>
      <c r="B124" s="2" t="s">
        <v>269</v>
      </c>
      <c r="C124" s="12" t="n">
        <v>45956</v>
      </c>
      <c r="D124" s="2" t="s">
        <v>164</v>
      </c>
      <c r="E124" s="2" t="s">
        <v>98</v>
      </c>
      <c r="F124" s="2" t="s">
        <v>99</v>
      </c>
      <c r="G124" s="2" t="s">
        <v>94</v>
      </c>
      <c r="H124" s="2" t="s">
        <v>95</v>
      </c>
      <c r="I124" s="9" t="n">
        <v>2</v>
      </c>
      <c r="J124" s="3" t="n">
        <v>2.99</v>
      </c>
      <c r="K124" s="3" t="n">
        <v>5.98</v>
      </c>
      <c r="L124" s="4" t="n">
        <v>0</v>
      </c>
      <c r="M124" s="3" t="n">
        <v>0</v>
      </c>
      <c r="N124" s="3" t="n">
        <v>0</v>
      </c>
      <c r="O124" s="3" t="n">
        <f aca="false">K124-M124-N124</f>
        <v>5.98</v>
      </c>
      <c r="P124" s="4" t="n">
        <v>0.1</v>
      </c>
      <c r="Q124" s="3" t="n">
        <v>5.44</v>
      </c>
      <c r="R124" s="3" t="n">
        <f aca="false">O124-Q124</f>
        <v>0.54</v>
      </c>
      <c r="S124" s="3" t="n">
        <v>2.4</v>
      </c>
      <c r="T124" s="3" t="n">
        <f aca="false">Q124-S124</f>
        <v>3.04</v>
      </c>
      <c r="U124" s="4" t="n">
        <f aca="false">IF(Q124=0,0,T124/Q124)</f>
        <v>0.558823529411765</v>
      </c>
      <c r="V124" s="2" t="s">
        <v>138</v>
      </c>
      <c r="W124" s="2" t="s">
        <v>156</v>
      </c>
      <c r="X124" s="2" t="s">
        <v>132</v>
      </c>
    </row>
    <row r="125" customFormat="false" ht="15" hidden="false" customHeight="false" outlineLevel="0" collapsed="false">
      <c r="A125" s="5" t="n">
        <v>124</v>
      </c>
      <c r="B125" s="5" t="s">
        <v>270</v>
      </c>
      <c r="C125" s="13" t="n">
        <v>45957</v>
      </c>
      <c r="D125" s="5" t="s">
        <v>164</v>
      </c>
      <c r="E125" s="5" t="s">
        <v>87</v>
      </c>
      <c r="F125" s="5" t="s">
        <v>88</v>
      </c>
      <c r="G125" s="5" t="s">
        <v>85</v>
      </c>
      <c r="H125" s="5" t="s">
        <v>86</v>
      </c>
      <c r="I125" s="11" t="n">
        <v>2</v>
      </c>
      <c r="J125" s="6" t="n">
        <v>2.49</v>
      </c>
      <c r="K125" s="6" t="n">
        <v>4.98</v>
      </c>
      <c r="L125" s="7" t="n">
        <v>0</v>
      </c>
      <c r="M125" s="6" t="n">
        <v>0</v>
      </c>
      <c r="N125" s="6" t="n">
        <v>0</v>
      </c>
      <c r="O125" s="6" t="n">
        <f aca="false">K125-M125-N125</f>
        <v>4.98</v>
      </c>
      <c r="P125" s="7" t="n">
        <v>0.1</v>
      </c>
      <c r="Q125" s="6" t="n">
        <v>4.53</v>
      </c>
      <c r="R125" s="6" t="n">
        <f aca="false">O125-Q125</f>
        <v>0.45</v>
      </c>
      <c r="S125" s="6" t="n">
        <v>3</v>
      </c>
      <c r="T125" s="6" t="n">
        <f aca="false">Q125-S125</f>
        <v>1.53</v>
      </c>
      <c r="U125" s="7" t="n">
        <f aca="false">IF(Q125=0,0,T125/Q125)</f>
        <v>0.337748344370861</v>
      </c>
      <c r="V125" s="5" t="s">
        <v>126</v>
      </c>
      <c r="W125" s="5" t="s">
        <v>136</v>
      </c>
      <c r="X125" s="5" t="s">
        <v>132</v>
      </c>
    </row>
    <row r="126" customFormat="false" ht="15" hidden="false" customHeight="false" outlineLevel="0" collapsed="false">
      <c r="A126" s="2" t="n">
        <v>125</v>
      </c>
      <c r="B126" s="2" t="s">
        <v>271</v>
      </c>
      <c r="C126" s="12" t="n">
        <v>45960</v>
      </c>
      <c r="D126" s="2" t="s">
        <v>202</v>
      </c>
      <c r="E126" s="2" t="s">
        <v>87</v>
      </c>
      <c r="F126" s="2" t="s">
        <v>88</v>
      </c>
      <c r="G126" s="2" t="s">
        <v>85</v>
      </c>
      <c r="H126" s="2" t="s">
        <v>86</v>
      </c>
      <c r="I126" s="9" t="n">
        <v>3</v>
      </c>
      <c r="J126" s="3" t="n">
        <v>2.49</v>
      </c>
      <c r="K126" s="3" t="n">
        <v>7.47</v>
      </c>
      <c r="L126" s="4" t="n">
        <v>0</v>
      </c>
      <c r="M126" s="3" t="n">
        <v>0</v>
      </c>
      <c r="N126" s="3" t="n">
        <v>1.12</v>
      </c>
      <c r="O126" s="3" t="n">
        <f aca="false">K126-M126-N126</f>
        <v>6.35</v>
      </c>
      <c r="P126" s="4" t="n">
        <v>0.1</v>
      </c>
      <c r="Q126" s="3" t="n">
        <v>5.77</v>
      </c>
      <c r="R126" s="3" t="n">
        <f aca="false">O126-Q126</f>
        <v>0.58</v>
      </c>
      <c r="S126" s="3" t="n">
        <v>4.5</v>
      </c>
      <c r="T126" s="3" t="n">
        <f aca="false">Q126-S126</f>
        <v>1.27</v>
      </c>
      <c r="U126" s="4" t="n">
        <f aca="false">IF(Q126=0,0,T126/Q126)</f>
        <v>0.220103986135182</v>
      </c>
      <c r="V126" s="2" t="s">
        <v>126</v>
      </c>
      <c r="W126" s="2" t="s">
        <v>136</v>
      </c>
      <c r="X126" s="2" t="s">
        <v>132</v>
      </c>
    </row>
    <row r="127" customFormat="false" ht="15" hidden="false" customHeight="false" outlineLevel="0" collapsed="false">
      <c r="A127" s="5" t="n">
        <v>126</v>
      </c>
      <c r="B127" s="5" t="s">
        <v>272</v>
      </c>
      <c r="C127" s="13" t="n">
        <v>45960</v>
      </c>
      <c r="D127" s="5" t="s">
        <v>179</v>
      </c>
      <c r="E127" s="5" t="s">
        <v>61</v>
      </c>
      <c r="F127" s="5" t="s">
        <v>62</v>
      </c>
      <c r="G127" s="5" t="s">
        <v>59</v>
      </c>
      <c r="H127" s="5" t="s">
        <v>60</v>
      </c>
      <c r="I127" s="11" t="n">
        <v>6</v>
      </c>
      <c r="J127" s="6" t="n">
        <v>18.9</v>
      </c>
      <c r="K127" s="6" t="n">
        <v>113.4</v>
      </c>
      <c r="L127" s="7" t="n">
        <v>0</v>
      </c>
      <c r="M127" s="6" t="n">
        <v>0</v>
      </c>
      <c r="N127" s="6" t="n">
        <v>0</v>
      </c>
      <c r="O127" s="6" t="n">
        <f aca="false">K127-M127-N127</f>
        <v>113.4</v>
      </c>
      <c r="P127" s="7" t="n">
        <v>0.21</v>
      </c>
      <c r="Q127" s="6" t="n">
        <v>93.72</v>
      </c>
      <c r="R127" s="6" t="n">
        <f aca="false">O127-Q127</f>
        <v>19.68</v>
      </c>
      <c r="S127" s="6" t="n">
        <v>39</v>
      </c>
      <c r="T127" s="6" t="n">
        <f aca="false">Q127-S127</f>
        <v>54.72</v>
      </c>
      <c r="U127" s="7" t="n">
        <f aca="false">IF(Q127=0,0,T127/Q127)</f>
        <v>0.583866837387964</v>
      </c>
      <c r="V127" s="5" t="s">
        <v>126</v>
      </c>
      <c r="W127" s="5" t="s">
        <v>136</v>
      </c>
      <c r="X127" s="5" t="s">
        <v>185</v>
      </c>
    </row>
    <row r="128" customFormat="false" ht="15" hidden="false" customHeight="false" outlineLevel="0" collapsed="false">
      <c r="A128" s="2" t="n">
        <v>127</v>
      </c>
      <c r="B128" s="2" t="s">
        <v>273</v>
      </c>
      <c r="C128" s="12" t="n">
        <v>45962</v>
      </c>
      <c r="D128" s="2" t="s">
        <v>258</v>
      </c>
      <c r="E128" s="2" t="s">
        <v>45</v>
      </c>
      <c r="F128" s="2" t="s">
        <v>46</v>
      </c>
      <c r="G128" s="2" t="s">
        <v>38</v>
      </c>
      <c r="H128" s="2" t="s">
        <v>39</v>
      </c>
      <c r="I128" s="9" t="n">
        <v>1</v>
      </c>
      <c r="J128" s="3" t="n">
        <v>79.9</v>
      </c>
      <c r="K128" s="3" t="n">
        <v>79.9</v>
      </c>
      <c r="L128" s="4" t="n">
        <v>0.05</v>
      </c>
      <c r="M128" s="3" t="n">
        <v>4</v>
      </c>
      <c r="N128" s="3" t="n">
        <v>15.18</v>
      </c>
      <c r="O128" s="3" t="n">
        <f aca="false">K128-M128-N128</f>
        <v>60.72</v>
      </c>
      <c r="P128" s="4" t="n">
        <v>0.21</v>
      </c>
      <c r="Q128" s="3" t="n">
        <v>50.18</v>
      </c>
      <c r="R128" s="3" t="n">
        <f aca="false">O128-Q128</f>
        <v>10.54</v>
      </c>
      <c r="S128" s="3" t="n">
        <v>32</v>
      </c>
      <c r="T128" s="3" t="n">
        <f aca="false">Q128-S128</f>
        <v>18.18</v>
      </c>
      <c r="U128" s="4" t="n">
        <f aca="false">IF(Q128=0,0,T128/Q128)</f>
        <v>0.36229573535273</v>
      </c>
      <c r="V128" s="2" t="s">
        <v>126</v>
      </c>
      <c r="W128" s="2" t="s">
        <v>136</v>
      </c>
      <c r="X128" s="2" t="s">
        <v>231</v>
      </c>
    </row>
    <row r="129" customFormat="false" ht="15" hidden="false" customHeight="false" outlineLevel="0" collapsed="false">
      <c r="A129" s="5" t="n">
        <v>128</v>
      </c>
      <c r="B129" s="5" t="s">
        <v>273</v>
      </c>
      <c r="C129" s="13" t="n">
        <v>45962</v>
      </c>
      <c r="D129" s="5" t="s">
        <v>258</v>
      </c>
      <c r="E129" s="5" t="s">
        <v>92</v>
      </c>
      <c r="F129" s="5" t="s">
        <v>93</v>
      </c>
      <c r="G129" s="5" t="s">
        <v>94</v>
      </c>
      <c r="H129" s="5" t="s">
        <v>95</v>
      </c>
      <c r="I129" s="11" t="n">
        <v>12</v>
      </c>
      <c r="J129" s="6" t="n">
        <v>4.49</v>
      </c>
      <c r="K129" s="6" t="n">
        <v>53.88</v>
      </c>
      <c r="L129" s="7" t="n">
        <v>0</v>
      </c>
      <c r="M129" s="6" t="n">
        <v>0</v>
      </c>
      <c r="N129" s="6" t="n">
        <v>10.78</v>
      </c>
      <c r="O129" s="6" t="n">
        <f aca="false">K129-M129-N129</f>
        <v>43.1</v>
      </c>
      <c r="P129" s="7" t="n">
        <v>0.1</v>
      </c>
      <c r="Q129" s="6" t="n">
        <v>39.18</v>
      </c>
      <c r="R129" s="6" t="n">
        <f aca="false">O129-Q129</f>
        <v>3.92</v>
      </c>
      <c r="S129" s="6" t="n">
        <v>25.2</v>
      </c>
      <c r="T129" s="6" t="n">
        <f aca="false">Q129-S129</f>
        <v>13.98</v>
      </c>
      <c r="U129" s="7" t="n">
        <f aca="false">IF(Q129=0,0,T129/Q129)</f>
        <v>0.356814701378254</v>
      </c>
      <c r="V129" s="5" t="s">
        <v>126</v>
      </c>
      <c r="W129" s="5" t="s">
        <v>136</v>
      </c>
      <c r="X129" s="5" t="s">
        <v>231</v>
      </c>
    </row>
    <row r="130" customFormat="false" ht="15" hidden="false" customHeight="false" outlineLevel="0" collapsed="false">
      <c r="A130" s="2" t="n">
        <v>129</v>
      </c>
      <c r="B130" s="2" t="s">
        <v>274</v>
      </c>
      <c r="C130" s="12" t="n">
        <v>45962</v>
      </c>
      <c r="D130" s="2" t="s">
        <v>202</v>
      </c>
      <c r="E130" s="2" t="s">
        <v>61</v>
      </c>
      <c r="F130" s="2" t="s">
        <v>62</v>
      </c>
      <c r="G130" s="2" t="s">
        <v>59</v>
      </c>
      <c r="H130" s="2" t="s">
        <v>60</v>
      </c>
      <c r="I130" s="9" t="n">
        <v>4</v>
      </c>
      <c r="J130" s="3" t="n">
        <v>18.9</v>
      </c>
      <c r="K130" s="3" t="n">
        <v>75.6</v>
      </c>
      <c r="L130" s="4" t="n">
        <v>0</v>
      </c>
      <c r="M130" s="3" t="n">
        <v>0</v>
      </c>
      <c r="N130" s="3" t="n">
        <v>11.34</v>
      </c>
      <c r="O130" s="3" t="n">
        <f aca="false">K130-M130-N130</f>
        <v>64.26</v>
      </c>
      <c r="P130" s="4" t="n">
        <v>0.21</v>
      </c>
      <c r="Q130" s="3" t="n">
        <v>53.11</v>
      </c>
      <c r="R130" s="3" t="n">
        <f aca="false">O130-Q130</f>
        <v>11.15</v>
      </c>
      <c r="S130" s="3" t="n">
        <v>26</v>
      </c>
      <c r="T130" s="3" t="n">
        <f aca="false">Q130-S130</f>
        <v>27.11</v>
      </c>
      <c r="U130" s="4" t="n">
        <f aca="false">IF(Q130=0,0,T130/Q130)</f>
        <v>0.510450009414423</v>
      </c>
      <c r="V130" s="2" t="s">
        <v>126</v>
      </c>
      <c r="W130" s="2" t="s">
        <v>136</v>
      </c>
      <c r="X130" s="2" t="s">
        <v>132</v>
      </c>
    </row>
    <row r="131" customFormat="false" ht="15" hidden="false" customHeight="false" outlineLevel="0" collapsed="false">
      <c r="A131" s="5" t="n">
        <v>130</v>
      </c>
      <c r="B131" s="5" t="s">
        <v>274</v>
      </c>
      <c r="C131" s="13" t="n">
        <v>45962</v>
      </c>
      <c r="D131" s="5" t="s">
        <v>202</v>
      </c>
      <c r="E131" s="5" t="s">
        <v>55</v>
      </c>
      <c r="F131" s="5" t="s">
        <v>56</v>
      </c>
      <c r="G131" s="5" t="s">
        <v>51</v>
      </c>
      <c r="H131" s="5" t="s">
        <v>52</v>
      </c>
      <c r="I131" s="11" t="n">
        <v>2</v>
      </c>
      <c r="J131" s="6" t="n">
        <v>119</v>
      </c>
      <c r="K131" s="6" t="n">
        <v>238</v>
      </c>
      <c r="L131" s="7" t="n">
        <v>0</v>
      </c>
      <c r="M131" s="6" t="n">
        <v>0</v>
      </c>
      <c r="N131" s="6" t="n">
        <v>35.7</v>
      </c>
      <c r="O131" s="6" t="n">
        <f aca="false">K131-M131-N131</f>
        <v>202.3</v>
      </c>
      <c r="P131" s="7" t="n">
        <v>0.21</v>
      </c>
      <c r="Q131" s="6" t="n">
        <v>167.19</v>
      </c>
      <c r="R131" s="6" t="n">
        <f aca="false">O131-Q131</f>
        <v>35.11</v>
      </c>
      <c r="S131" s="6" t="n">
        <v>110</v>
      </c>
      <c r="T131" s="6" t="n">
        <f aca="false">Q131-S131</f>
        <v>57.19</v>
      </c>
      <c r="U131" s="7" t="n">
        <f aca="false">IF(Q131=0,0,T131/Q131)</f>
        <v>0.342065913033076</v>
      </c>
      <c r="V131" s="5" t="s">
        <v>126</v>
      </c>
      <c r="W131" s="5" t="s">
        <v>136</v>
      </c>
      <c r="X131" s="5" t="s">
        <v>132</v>
      </c>
    </row>
    <row r="132" customFormat="false" ht="15" hidden="false" customHeight="false" outlineLevel="0" collapsed="false">
      <c r="A132" s="2" t="n">
        <v>131</v>
      </c>
      <c r="B132" s="2" t="s">
        <v>275</v>
      </c>
      <c r="C132" s="12" t="n">
        <v>45963</v>
      </c>
      <c r="D132" s="2" t="s">
        <v>179</v>
      </c>
      <c r="E132" s="2" t="s">
        <v>18</v>
      </c>
      <c r="F132" s="2" t="s">
        <v>19</v>
      </c>
      <c r="G132" s="2" t="s">
        <v>13</v>
      </c>
      <c r="H132" s="2" t="s">
        <v>14</v>
      </c>
      <c r="I132" s="9" t="n">
        <v>1</v>
      </c>
      <c r="J132" s="3" t="n">
        <v>199</v>
      </c>
      <c r="K132" s="3" t="n">
        <v>199</v>
      </c>
      <c r="L132" s="4" t="n">
        <v>0</v>
      </c>
      <c r="M132" s="3" t="n">
        <v>0</v>
      </c>
      <c r="N132" s="3" t="n">
        <v>0</v>
      </c>
      <c r="O132" s="3" t="n">
        <f aca="false">K132-M132-N132</f>
        <v>199</v>
      </c>
      <c r="P132" s="4" t="n">
        <v>0.21</v>
      </c>
      <c r="Q132" s="3" t="n">
        <v>164.46</v>
      </c>
      <c r="R132" s="3" t="n">
        <f aca="false">O132-Q132</f>
        <v>34.54</v>
      </c>
      <c r="S132" s="3" t="n">
        <v>95</v>
      </c>
      <c r="T132" s="3" t="n">
        <f aca="false">Q132-S132</f>
        <v>69.46</v>
      </c>
      <c r="U132" s="4" t="n">
        <f aca="false">IF(Q132=0,0,T132/Q132)</f>
        <v>0.422351939681382</v>
      </c>
      <c r="V132" s="2" t="s">
        <v>172</v>
      </c>
      <c r="W132" s="2" t="s">
        <v>154</v>
      </c>
      <c r="X132" s="2" t="s">
        <v>176</v>
      </c>
    </row>
    <row r="133" customFormat="false" ht="15" hidden="false" customHeight="false" outlineLevel="0" collapsed="false">
      <c r="A133" s="5" t="n">
        <v>132</v>
      </c>
      <c r="B133" s="5" t="s">
        <v>275</v>
      </c>
      <c r="C133" s="13" t="n">
        <v>45963</v>
      </c>
      <c r="D133" s="5" t="s">
        <v>179</v>
      </c>
      <c r="E133" s="5" t="s">
        <v>40</v>
      </c>
      <c r="F133" s="5" t="s">
        <v>41</v>
      </c>
      <c r="G133" s="5" t="s">
        <v>38</v>
      </c>
      <c r="H133" s="5" t="s">
        <v>39</v>
      </c>
      <c r="I133" s="11" t="n">
        <v>2</v>
      </c>
      <c r="J133" s="6" t="n">
        <v>12.9</v>
      </c>
      <c r="K133" s="6" t="n">
        <v>25.8</v>
      </c>
      <c r="L133" s="7" t="n">
        <v>0</v>
      </c>
      <c r="M133" s="6" t="n">
        <v>0</v>
      </c>
      <c r="N133" s="6" t="n">
        <v>0</v>
      </c>
      <c r="O133" s="6" t="n">
        <f aca="false">K133-M133-N133</f>
        <v>25.8</v>
      </c>
      <c r="P133" s="7" t="n">
        <v>0.21</v>
      </c>
      <c r="Q133" s="6" t="n">
        <v>21.32</v>
      </c>
      <c r="R133" s="6" t="n">
        <f aca="false">O133-Q133</f>
        <v>4.48</v>
      </c>
      <c r="S133" s="6" t="n">
        <v>4.2</v>
      </c>
      <c r="T133" s="6" t="n">
        <f aca="false">Q133-S133</f>
        <v>17.12</v>
      </c>
      <c r="U133" s="7" t="n">
        <f aca="false">IF(Q133=0,0,T133/Q133)</f>
        <v>0.803001876172608</v>
      </c>
      <c r="V133" s="5" t="s">
        <v>172</v>
      </c>
      <c r="W133" s="5" t="s">
        <v>154</v>
      </c>
      <c r="X133" s="5" t="s">
        <v>176</v>
      </c>
    </row>
    <row r="134" customFormat="false" ht="15" hidden="false" customHeight="false" outlineLevel="0" collapsed="false">
      <c r="A134" s="2" t="n">
        <v>133</v>
      </c>
      <c r="B134" s="2" t="s">
        <v>275</v>
      </c>
      <c r="C134" s="12" t="n">
        <v>45963</v>
      </c>
      <c r="D134" s="2" t="s">
        <v>179</v>
      </c>
      <c r="E134" s="2" t="s">
        <v>24</v>
      </c>
      <c r="F134" s="2" t="s">
        <v>25</v>
      </c>
      <c r="G134" s="2" t="s">
        <v>22</v>
      </c>
      <c r="H134" s="2" t="s">
        <v>23</v>
      </c>
      <c r="I134" s="9" t="n">
        <v>1</v>
      </c>
      <c r="J134" s="3" t="n">
        <v>24.9</v>
      </c>
      <c r="K134" s="3" t="n">
        <v>24.9</v>
      </c>
      <c r="L134" s="4" t="n">
        <v>0</v>
      </c>
      <c r="M134" s="3" t="n">
        <v>0</v>
      </c>
      <c r="N134" s="3" t="n">
        <v>0</v>
      </c>
      <c r="O134" s="3" t="n">
        <f aca="false">K134-M134-N134</f>
        <v>24.9</v>
      </c>
      <c r="P134" s="4" t="n">
        <v>0.21</v>
      </c>
      <c r="Q134" s="3" t="n">
        <v>20.58</v>
      </c>
      <c r="R134" s="3" t="n">
        <f aca="false">O134-Q134</f>
        <v>4.32</v>
      </c>
      <c r="S134" s="3" t="n">
        <v>9.8</v>
      </c>
      <c r="T134" s="3" t="n">
        <f aca="false">Q134-S134</f>
        <v>10.78</v>
      </c>
      <c r="U134" s="4" t="n">
        <f aca="false">IF(Q134=0,0,T134/Q134)</f>
        <v>0.523809523809524</v>
      </c>
      <c r="V134" s="2" t="s">
        <v>172</v>
      </c>
      <c r="W134" s="2" t="s">
        <v>154</v>
      </c>
      <c r="X134" s="2" t="s">
        <v>176</v>
      </c>
    </row>
    <row r="135" customFormat="false" ht="15" hidden="false" customHeight="false" outlineLevel="0" collapsed="false">
      <c r="A135" s="5" t="n">
        <v>134</v>
      </c>
      <c r="B135" s="5" t="s">
        <v>275</v>
      </c>
      <c r="C135" s="13" t="n">
        <v>45963</v>
      </c>
      <c r="D135" s="5" t="s">
        <v>179</v>
      </c>
      <c r="E135" s="5" t="s">
        <v>20</v>
      </c>
      <c r="F135" s="5" t="s">
        <v>21</v>
      </c>
      <c r="G135" s="5" t="s">
        <v>22</v>
      </c>
      <c r="H135" s="5" t="s">
        <v>23</v>
      </c>
      <c r="I135" s="11" t="n">
        <v>1</v>
      </c>
      <c r="J135" s="6" t="n">
        <v>799</v>
      </c>
      <c r="K135" s="6" t="n">
        <v>799</v>
      </c>
      <c r="L135" s="7" t="n">
        <v>0</v>
      </c>
      <c r="M135" s="6" t="n">
        <v>0</v>
      </c>
      <c r="N135" s="6" t="n">
        <v>0</v>
      </c>
      <c r="O135" s="6" t="n">
        <f aca="false">K135-M135-N135</f>
        <v>799</v>
      </c>
      <c r="P135" s="7" t="n">
        <v>0.21</v>
      </c>
      <c r="Q135" s="6" t="n">
        <v>660.33</v>
      </c>
      <c r="R135" s="6" t="n">
        <f aca="false">O135-Q135</f>
        <v>138.67</v>
      </c>
      <c r="S135" s="6" t="n">
        <v>550</v>
      </c>
      <c r="T135" s="6" t="n">
        <f aca="false">Q135-S135</f>
        <v>110.33</v>
      </c>
      <c r="U135" s="7" t="n">
        <f aca="false">IF(Q135=0,0,T135/Q135)</f>
        <v>0.167083125104115</v>
      </c>
      <c r="V135" s="5" t="s">
        <v>172</v>
      </c>
      <c r="W135" s="5" t="s">
        <v>154</v>
      </c>
      <c r="X135" s="5" t="s">
        <v>176</v>
      </c>
    </row>
    <row r="136" customFormat="false" ht="15" hidden="false" customHeight="false" outlineLevel="0" collapsed="false">
      <c r="A136" s="2" t="n">
        <v>135</v>
      </c>
      <c r="B136" s="2" t="s">
        <v>276</v>
      </c>
      <c r="C136" s="12" t="n">
        <v>45965</v>
      </c>
      <c r="D136" s="2" t="s">
        <v>223</v>
      </c>
      <c r="E136" s="2" t="s">
        <v>69</v>
      </c>
      <c r="F136" s="2" t="s">
        <v>70</v>
      </c>
      <c r="G136" s="2" t="s">
        <v>71</v>
      </c>
      <c r="H136" s="2" t="s">
        <v>72</v>
      </c>
      <c r="I136" s="9" t="n">
        <v>1</v>
      </c>
      <c r="J136" s="3" t="n">
        <v>22.9</v>
      </c>
      <c r="K136" s="3" t="n">
        <v>22.9</v>
      </c>
      <c r="L136" s="4" t="n">
        <v>0.05</v>
      </c>
      <c r="M136" s="3" t="n">
        <v>1.14</v>
      </c>
      <c r="N136" s="3" t="n">
        <v>3.26</v>
      </c>
      <c r="O136" s="3" t="n">
        <f aca="false">K136-M136-N136</f>
        <v>18.5</v>
      </c>
      <c r="P136" s="4" t="n">
        <v>0.21</v>
      </c>
      <c r="Q136" s="3" t="n">
        <v>15.29</v>
      </c>
      <c r="R136" s="3" t="n">
        <f aca="false">O136-Q136</f>
        <v>3.21</v>
      </c>
      <c r="S136" s="3" t="n">
        <v>8</v>
      </c>
      <c r="T136" s="3" t="n">
        <f aca="false">Q136-S136</f>
        <v>7.29</v>
      </c>
      <c r="U136" s="4" t="n">
        <f aca="false">IF(Q136=0,0,T136/Q136)</f>
        <v>0.47678221059516</v>
      </c>
      <c r="V136" s="2" t="s">
        <v>126</v>
      </c>
      <c r="W136" s="2" t="s">
        <v>136</v>
      </c>
      <c r="X136" s="2" t="s">
        <v>132</v>
      </c>
    </row>
    <row r="137" customFormat="false" ht="15" hidden="false" customHeight="false" outlineLevel="0" collapsed="false">
      <c r="A137" s="5" t="n">
        <v>136</v>
      </c>
      <c r="B137" s="5" t="s">
        <v>276</v>
      </c>
      <c r="C137" s="13" t="n">
        <v>45965</v>
      </c>
      <c r="D137" s="5" t="s">
        <v>223</v>
      </c>
      <c r="E137" s="5" t="s">
        <v>57</v>
      </c>
      <c r="F137" s="5" t="s">
        <v>58</v>
      </c>
      <c r="G137" s="5" t="s">
        <v>59</v>
      </c>
      <c r="H137" s="5" t="s">
        <v>60</v>
      </c>
      <c r="I137" s="11" t="n">
        <v>1</v>
      </c>
      <c r="J137" s="6" t="n">
        <v>39.9</v>
      </c>
      <c r="K137" s="6" t="n">
        <v>39.9</v>
      </c>
      <c r="L137" s="7" t="n">
        <v>0</v>
      </c>
      <c r="M137" s="6" t="n">
        <v>0</v>
      </c>
      <c r="N137" s="6" t="n">
        <v>5.99</v>
      </c>
      <c r="O137" s="6" t="n">
        <f aca="false">K137-M137-N137</f>
        <v>33.91</v>
      </c>
      <c r="P137" s="7" t="n">
        <v>0.21</v>
      </c>
      <c r="Q137" s="6" t="n">
        <v>28.02</v>
      </c>
      <c r="R137" s="6" t="n">
        <f aca="false">O137-Q137</f>
        <v>5.89</v>
      </c>
      <c r="S137" s="6" t="n">
        <v>16</v>
      </c>
      <c r="T137" s="6" t="n">
        <f aca="false">Q137-S137</f>
        <v>12.02</v>
      </c>
      <c r="U137" s="7" t="n">
        <f aca="false">IF(Q137=0,0,T137/Q137)</f>
        <v>0.428979300499643</v>
      </c>
      <c r="V137" s="5" t="s">
        <v>126</v>
      </c>
      <c r="W137" s="5" t="s">
        <v>136</v>
      </c>
      <c r="X137" s="5" t="s">
        <v>132</v>
      </c>
    </row>
    <row r="138" customFormat="false" ht="15" hidden="false" customHeight="false" outlineLevel="0" collapsed="false">
      <c r="A138" s="2" t="n">
        <v>137</v>
      </c>
      <c r="B138" s="2" t="s">
        <v>276</v>
      </c>
      <c r="C138" s="12" t="n">
        <v>45965</v>
      </c>
      <c r="D138" s="2" t="s">
        <v>223</v>
      </c>
      <c r="E138" s="2" t="s">
        <v>18</v>
      </c>
      <c r="F138" s="2" t="s">
        <v>19</v>
      </c>
      <c r="G138" s="2" t="s">
        <v>13</v>
      </c>
      <c r="H138" s="2" t="s">
        <v>14</v>
      </c>
      <c r="I138" s="9" t="n">
        <v>1</v>
      </c>
      <c r="J138" s="3" t="n">
        <v>199</v>
      </c>
      <c r="K138" s="3" t="n">
        <v>199</v>
      </c>
      <c r="L138" s="4" t="n">
        <v>0</v>
      </c>
      <c r="M138" s="3" t="n">
        <v>0</v>
      </c>
      <c r="N138" s="3" t="n">
        <v>29.85</v>
      </c>
      <c r="O138" s="3" t="n">
        <f aca="false">K138-M138-N138</f>
        <v>169.15</v>
      </c>
      <c r="P138" s="4" t="n">
        <v>0.21</v>
      </c>
      <c r="Q138" s="3" t="n">
        <v>139.79</v>
      </c>
      <c r="R138" s="3" t="n">
        <f aca="false">O138-Q138</f>
        <v>29.36</v>
      </c>
      <c r="S138" s="3" t="n">
        <v>95</v>
      </c>
      <c r="T138" s="3" t="n">
        <f aca="false">Q138-S138</f>
        <v>44.79</v>
      </c>
      <c r="U138" s="4" t="n">
        <f aca="false">IF(Q138=0,0,T138/Q138)</f>
        <v>0.320409185206381</v>
      </c>
      <c r="V138" s="2" t="s">
        <v>126</v>
      </c>
      <c r="W138" s="2" t="s">
        <v>136</v>
      </c>
      <c r="X138" s="2" t="s">
        <v>132</v>
      </c>
    </row>
    <row r="139" customFormat="false" ht="15" hidden="false" customHeight="false" outlineLevel="0" collapsed="false">
      <c r="A139" s="5" t="n">
        <v>138</v>
      </c>
      <c r="B139" s="5" t="s">
        <v>277</v>
      </c>
      <c r="C139" s="13" t="n">
        <v>45965</v>
      </c>
      <c r="D139" s="5" t="s">
        <v>158</v>
      </c>
      <c r="E139" s="5" t="s">
        <v>73</v>
      </c>
      <c r="F139" s="5" t="s">
        <v>74</v>
      </c>
      <c r="G139" s="5" t="s">
        <v>71</v>
      </c>
      <c r="H139" s="5" t="s">
        <v>72</v>
      </c>
      <c r="I139" s="11" t="n">
        <v>1</v>
      </c>
      <c r="J139" s="6" t="n">
        <v>69.9</v>
      </c>
      <c r="K139" s="6" t="n">
        <v>69.9</v>
      </c>
      <c r="L139" s="7" t="n">
        <v>0</v>
      </c>
      <c r="M139" s="6" t="n">
        <v>0</v>
      </c>
      <c r="N139" s="6" t="n">
        <v>13.98</v>
      </c>
      <c r="O139" s="6" t="n">
        <f aca="false">K139-M139-N139</f>
        <v>55.92</v>
      </c>
      <c r="P139" s="7" t="n">
        <v>0.21</v>
      </c>
      <c r="Q139" s="6" t="n">
        <v>46.21</v>
      </c>
      <c r="R139" s="6" t="n">
        <f aca="false">O139-Q139</f>
        <v>9.71</v>
      </c>
      <c r="S139" s="6" t="n">
        <v>29</v>
      </c>
      <c r="T139" s="6" t="n">
        <f aca="false">Q139-S139</f>
        <v>17.21</v>
      </c>
      <c r="U139" s="7" t="n">
        <f aca="false">IF(Q139=0,0,T139/Q139)</f>
        <v>0.372430209911275</v>
      </c>
      <c r="V139" s="5" t="s">
        <v>138</v>
      </c>
      <c r="W139" s="5" t="s">
        <v>177</v>
      </c>
      <c r="X139" s="5" t="s">
        <v>132</v>
      </c>
    </row>
    <row r="140" customFormat="false" ht="15" hidden="false" customHeight="false" outlineLevel="0" collapsed="false">
      <c r="A140" s="2" t="n">
        <v>139</v>
      </c>
      <c r="B140" s="2" t="s">
        <v>278</v>
      </c>
      <c r="C140" s="12" t="n">
        <v>45965</v>
      </c>
      <c r="D140" s="2" t="s">
        <v>149</v>
      </c>
      <c r="E140" s="2" t="s">
        <v>63</v>
      </c>
      <c r="F140" s="2" t="s">
        <v>64</v>
      </c>
      <c r="G140" s="2" t="s">
        <v>65</v>
      </c>
      <c r="H140" s="2" t="s">
        <v>66</v>
      </c>
      <c r="I140" s="9" t="n">
        <v>1</v>
      </c>
      <c r="J140" s="3" t="n">
        <v>139</v>
      </c>
      <c r="K140" s="3" t="n">
        <v>139</v>
      </c>
      <c r="L140" s="4" t="n">
        <v>0.15</v>
      </c>
      <c r="M140" s="3" t="n">
        <v>20.85</v>
      </c>
      <c r="N140" s="3" t="n">
        <v>0</v>
      </c>
      <c r="O140" s="3" t="n">
        <f aca="false">K140-M140-N140</f>
        <v>118.15</v>
      </c>
      <c r="P140" s="4" t="n">
        <v>0.21</v>
      </c>
      <c r="Q140" s="3" t="n">
        <v>97.64</v>
      </c>
      <c r="R140" s="3" t="n">
        <f aca="false">O140-Q140</f>
        <v>20.51</v>
      </c>
      <c r="S140" s="3" t="n">
        <v>62</v>
      </c>
      <c r="T140" s="3" t="n">
        <f aca="false">Q140-S140</f>
        <v>35.64</v>
      </c>
      <c r="U140" s="4" t="n">
        <f aca="false">IF(Q140=0,0,T140/Q140)</f>
        <v>0.365014338385907</v>
      </c>
      <c r="V140" s="2" t="s">
        <v>172</v>
      </c>
      <c r="W140" s="2" t="s">
        <v>154</v>
      </c>
      <c r="X140" s="2" t="s">
        <v>132</v>
      </c>
    </row>
    <row r="141" customFormat="false" ht="15" hidden="false" customHeight="false" outlineLevel="0" collapsed="false">
      <c r="A141" s="5" t="n">
        <v>140</v>
      </c>
      <c r="B141" s="5" t="s">
        <v>279</v>
      </c>
      <c r="C141" s="13" t="n">
        <v>45965</v>
      </c>
      <c r="D141" s="5" t="s">
        <v>173</v>
      </c>
      <c r="E141" s="5" t="s">
        <v>81</v>
      </c>
      <c r="F141" s="5" t="s">
        <v>82</v>
      </c>
      <c r="G141" s="5" t="s">
        <v>79</v>
      </c>
      <c r="H141" s="5" t="s">
        <v>80</v>
      </c>
      <c r="I141" s="11" t="n">
        <v>2</v>
      </c>
      <c r="J141" s="6" t="n">
        <v>19.9</v>
      </c>
      <c r="K141" s="6" t="n">
        <v>39.8</v>
      </c>
      <c r="L141" s="7" t="n">
        <v>0</v>
      </c>
      <c r="M141" s="6" t="n">
        <v>0</v>
      </c>
      <c r="N141" s="6" t="n">
        <v>0</v>
      </c>
      <c r="O141" s="6" t="n">
        <f aca="false">K141-M141-N141</f>
        <v>39.8</v>
      </c>
      <c r="P141" s="7" t="n">
        <v>0.21</v>
      </c>
      <c r="Q141" s="6" t="n">
        <v>32.89</v>
      </c>
      <c r="R141" s="6" t="n">
        <f aca="false">O141-Q141</f>
        <v>6.91</v>
      </c>
      <c r="S141" s="6" t="n">
        <v>14</v>
      </c>
      <c r="T141" s="6" t="n">
        <f aca="false">Q141-S141</f>
        <v>18.89</v>
      </c>
      <c r="U141" s="7" t="n">
        <f aca="false">IF(Q141=0,0,T141/Q141)</f>
        <v>0.574338704773487</v>
      </c>
      <c r="V141" s="5" t="s">
        <v>172</v>
      </c>
      <c r="W141" s="5" t="s">
        <v>154</v>
      </c>
      <c r="X141" s="5" t="s">
        <v>132</v>
      </c>
    </row>
    <row r="142" customFormat="false" ht="15" hidden="false" customHeight="false" outlineLevel="0" collapsed="false">
      <c r="A142" s="2" t="n">
        <v>141</v>
      </c>
      <c r="B142" s="2" t="s">
        <v>280</v>
      </c>
      <c r="C142" s="12" t="n">
        <v>45965</v>
      </c>
      <c r="D142" s="2" t="s">
        <v>202</v>
      </c>
      <c r="E142" s="2" t="s">
        <v>87</v>
      </c>
      <c r="F142" s="2" t="s">
        <v>88</v>
      </c>
      <c r="G142" s="2" t="s">
        <v>85</v>
      </c>
      <c r="H142" s="2" t="s">
        <v>86</v>
      </c>
      <c r="I142" s="9" t="n">
        <v>12</v>
      </c>
      <c r="J142" s="3" t="n">
        <v>2.49</v>
      </c>
      <c r="K142" s="3" t="n">
        <v>29.88</v>
      </c>
      <c r="L142" s="4" t="n">
        <v>0</v>
      </c>
      <c r="M142" s="3" t="n">
        <v>0</v>
      </c>
      <c r="N142" s="3" t="n">
        <v>4.48</v>
      </c>
      <c r="O142" s="3" t="n">
        <f aca="false">K142-M142-N142</f>
        <v>25.4</v>
      </c>
      <c r="P142" s="4" t="n">
        <v>0.1</v>
      </c>
      <c r="Q142" s="3" t="n">
        <v>23.09</v>
      </c>
      <c r="R142" s="3" t="n">
        <f aca="false">O142-Q142</f>
        <v>2.31</v>
      </c>
      <c r="S142" s="3" t="n">
        <v>18</v>
      </c>
      <c r="T142" s="3" t="n">
        <f aca="false">Q142-S142</f>
        <v>5.09</v>
      </c>
      <c r="U142" s="4" t="n">
        <f aca="false">IF(Q142=0,0,T142/Q142)</f>
        <v>0.220441749675184</v>
      </c>
      <c r="V142" s="2" t="s">
        <v>148</v>
      </c>
      <c r="W142" s="2" t="s">
        <v>154</v>
      </c>
      <c r="X142" s="2" t="s">
        <v>132</v>
      </c>
    </row>
    <row r="143" customFormat="false" ht="15" hidden="false" customHeight="false" outlineLevel="0" collapsed="false">
      <c r="A143" s="5" t="n">
        <v>142</v>
      </c>
      <c r="B143" s="5" t="s">
        <v>281</v>
      </c>
      <c r="C143" s="13" t="n">
        <v>45966</v>
      </c>
      <c r="D143" s="5" t="s">
        <v>223</v>
      </c>
      <c r="E143" s="5" t="s">
        <v>73</v>
      </c>
      <c r="F143" s="5" t="s">
        <v>74</v>
      </c>
      <c r="G143" s="5" t="s">
        <v>71</v>
      </c>
      <c r="H143" s="5" t="s">
        <v>72</v>
      </c>
      <c r="I143" s="11" t="n">
        <v>2</v>
      </c>
      <c r="J143" s="6" t="n">
        <v>69.9</v>
      </c>
      <c r="K143" s="6" t="n">
        <v>139.8</v>
      </c>
      <c r="L143" s="7" t="n">
        <v>0</v>
      </c>
      <c r="M143" s="6" t="n">
        <v>0</v>
      </c>
      <c r="N143" s="6" t="n">
        <v>27.96</v>
      </c>
      <c r="O143" s="6" t="n">
        <f aca="false">K143-M143-N143</f>
        <v>111.84</v>
      </c>
      <c r="P143" s="7" t="n">
        <v>0.21</v>
      </c>
      <c r="Q143" s="6" t="n">
        <v>92.43</v>
      </c>
      <c r="R143" s="6" t="n">
        <f aca="false">O143-Q143</f>
        <v>19.41</v>
      </c>
      <c r="S143" s="6" t="n">
        <v>58</v>
      </c>
      <c r="T143" s="6" t="n">
        <f aca="false">Q143-S143</f>
        <v>34.43</v>
      </c>
      <c r="U143" s="7" t="n">
        <f aca="false">IF(Q143=0,0,T143/Q143)</f>
        <v>0.372498106675322</v>
      </c>
      <c r="V143" s="5" t="s">
        <v>172</v>
      </c>
      <c r="W143" s="5" t="s">
        <v>156</v>
      </c>
      <c r="X143" s="5" t="s">
        <v>176</v>
      </c>
    </row>
    <row r="144" customFormat="false" ht="15" hidden="false" customHeight="false" outlineLevel="0" collapsed="false">
      <c r="A144" s="2" t="n">
        <v>143</v>
      </c>
      <c r="B144" s="2" t="s">
        <v>281</v>
      </c>
      <c r="C144" s="12" t="n">
        <v>45966</v>
      </c>
      <c r="D144" s="2" t="s">
        <v>223</v>
      </c>
      <c r="E144" s="2" t="s">
        <v>89</v>
      </c>
      <c r="F144" s="2" t="s">
        <v>90</v>
      </c>
      <c r="G144" s="2" t="s">
        <v>91</v>
      </c>
      <c r="H144" s="2" t="s">
        <v>86</v>
      </c>
      <c r="I144" s="9" t="n">
        <v>1</v>
      </c>
      <c r="J144" s="3" t="n">
        <v>4.99</v>
      </c>
      <c r="K144" s="3" t="n">
        <v>4.99</v>
      </c>
      <c r="L144" s="4" t="n">
        <v>0.1</v>
      </c>
      <c r="M144" s="3" t="n">
        <v>0.5</v>
      </c>
      <c r="N144" s="3" t="n">
        <v>0.9</v>
      </c>
      <c r="O144" s="3" t="n">
        <f aca="false">K144-M144-N144</f>
        <v>3.59</v>
      </c>
      <c r="P144" s="4" t="n">
        <v>0.1</v>
      </c>
      <c r="Q144" s="3" t="n">
        <v>3.26</v>
      </c>
      <c r="R144" s="3" t="n">
        <f aca="false">O144-Q144</f>
        <v>0.330000000000001</v>
      </c>
      <c r="S144" s="3" t="n">
        <v>2.3</v>
      </c>
      <c r="T144" s="3" t="n">
        <f aca="false">Q144-S144</f>
        <v>0.96</v>
      </c>
      <c r="U144" s="4" t="n">
        <f aca="false">IF(Q144=0,0,T144/Q144)</f>
        <v>0.294478527607362</v>
      </c>
      <c r="V144" s="2" t="s">
        <v>172</v>
      </c>
      <c r="W144" s="2" t="s">
        <v>156</v>
      </c>
      <c r="X144" s="2" t="s">
        <v>176</v>
      </c>
    </row>
    <row r="145" customFormat="false" ht="15" hidden="false" customHeight="false" outlineLevel="0" collapsed="false">
      <c r="A145" s="5" t="n">
        <v>144</v>
      </c>
      <c r="B145" s="5" t="s">
        <v>282</v>
      </c>
      <c r="C145" s="13" t="n">
        <v>45966</v>
      </c>
      <c r="D145" s="5" t="s">
        <v>158</v>
      </c>
      <c r="E145" s="5" t="s">
        <v>69</v>
      </c>
      <c r="F145" s="5" t="s">
        <v>70</v>
      </c>
      <c r="G145" s="5" t="s">
        <v>71</v>
      </c>
      <c r="H145" s="5" t="s">
        <v>72</v>
      </c>
      <c r="I145" s="11" t="n">
        <v>1</v>
      </c>
      <c r="J145" s="6" t="n">
        <v>22.9</v>
      </c>
      <c r="K145" s="6" t="n">
        <v>22.9</v>
      </c>
      <c r="L145" s="7" t="n">
        <v>0</v>
      </c>
      <c r="M145" s="6" t="n">
        <v>0</v>
      </c>
      <c r="N145" s="6" t="n">
        <v>4.58</v>
      </c>
      <c r="O145" s="6" t="n">
        <f aca="false">K145-M145-N145</f>
        <v>18.32</v>
      </c>
      <c r="P145" s="7" t="n">
        <v>0.21</v>
      </c>
      <c r="Q145" s="6" t="n">
        <v>15.14</v>
      </c>
      <c r="R145" s="6" t="n">
        <f aca="false">O145-Q145</f>
        <v>3.18</v>
      </c>
      <c r="S145" s="6" t="n">
        <v>8</v>
      </c>
      <c r="T145" s="6" t="n">
        <f aca="false">Q145-S145</f>
        <v>7.14</v>
      </c>
      <c r="U145" s="7" t="n">
        <f aca="false">IF(Q145=0,0,T145/Q145)</f>
        <v>0.471598414795244</v>
      </c>
      <c r="V145" s="5" t="s">
        <v>138</v>
      </c>
      <c r="W145" s="5" t="s">
        <v>177</v>
      </c>
      <c r="X145" s="5" t="s">
        <v>132</v>
      </c>
    </row>
    <row r="146" customFormat="false" ht="15" hidden="false" customHeight="false" outlineLevel="0" collapsed="false">
      <c r="A146" s="2" t="n">
        <v>145</v>
      </c>
      <c r="B146" s="2" t="s">
        <v>282</v>
      </c>
      <c r="C146" s="12" t="n">
        <v>45966</v>
      </c>
      <c r="D146" s="2" t="s">
        <v>158</v>
      </c>
      <c r="E146" s="2" t="s">
        <v>40</v>
      </c>
      <c r="F146" s="2" t="s">
        <v>41</v>
      </c>
      <c r="G146" s="2" t="s">
        <v>38</v>
      </c>
      <c r="H146" s="2" t="s">
        <v>39</v>
      </c>
      <c r="I146" s="9" t="n">
        <v>1</v>
      </c>
      <c r="J146" s="3" t="n">
        <v>12.9</v>
      </c>
      <c r="K146" s="3" t="n">
        <v>12.9</v>
      </c>
      <c r="L146" s="4" t="n">
        <v>0.1</v>
      </c>
      <c r="M146" s="3" t="n">
        <v>1.29</v>
      </c>
      <c r="N146" s="3" t="n">
        <v>2.32</v>
      </c>
      <c r="O146" s="3" t="n">
        <f aca="false">K146-M146-N146</f>
        <v>9.29</v>
      </c>
      <c r="P146" s="4" t="n">
        <v>0.21</v>
      </c>
      <c r="Q146" s="3" t="n">
        <v>7.68</v>
      </c>
      <c r="R146" s="3" t="n">
        <f aca="false">O146-Q146</f>
        <v>1.61</v>
      </c>
      <c r="S146" s="3" t="n">
        <v>2.1</v>
      </c>
      <c r="T146" s="3" t="n">
        <f aca="false">Q146-S146</f>
        <v>5.58</v>
      </c>
      <c r="U146" s="4" t="n">
        <f aca="false">IF(Q146=0,0,T146/Q146)</f>
        <v>0.7265625</v>
      </c>
      <c r="V146" s="2" t="s">
        <v>138</v>
      </c>
      <c r="W146" s="2" t="s">
        <v>177</v>
      </c>
      <c r="X146" s="2" t="s">
        <v>132</v>
      </c>
    </row>
    <row r="147" customFormat="false" ht="15" hidden="false" customHeight="false" outlineLevel="0" collapsed="false">
      <c r="A147" s="5" t="n">
        <v>146</v>
      </c>
      <c r="B147" s="5" t="s">
        <v>283</v>
      </c>
      <c r="C147" s="13" t="n">
        <v>45967</v>
      </c>
      <c r="D147" s="5" t="s">
        <v>158</v>
      </c>
      <c r="E147" s="5" t="s">
        <v>31</v>
      </c>
      <c r="F147" s="5" t="s">
        <v>32</v>
      </c>
      <c r="G147" s="5" t="s">
        <v>33</v>
      </c>
      <c r="H147" s="5" t="s">
        <v>23</v>
      </c>
      <c r="I147" s="11" t="n">
        <v>1</v>
      </c>
      <c r="J147" s="6" t="n">
        <v>89.9</v>
      </c>
      <c r="K147" s="6" t="n">
        <v>89.9</v>
      </c>
      <c r="L147" s="7" t="n">
        <v>0</v>
      </c>
      <c r="M147" s="6" t="n">
        <v>0</v>
      </c>
      <c r="N147" s="6" t="n">
        <v>0</v>
      </c>
      <c r="O147" s="6" t="n">
        <f aca="false">K147-M147-N147</f>
        <v>89.9</v>
      </c>
      <c r="P147" s="7" t="n">
        <v>0.21</v>
      </c>
      <c r="Q147" s="6" t="n">
        <v>74.3</v>
      </c>
      <c r="R147" s="6" t="n">
        <f aca="false">O147-Q147</f>
        <v>15.6</v>
      </c>
      <c r="S147" s="6" t="n">
        <v>48</v>
      </c>
      <c r="T147" s="6" t="n">
        <f aca="false">Q147-S147</f>
        <v>26.3</v>
      </c>
      <c r="U147" s="7" t="n">
        <f aca="false">IF(Q147=0,0,T147/Q147)</f>
        <v>0.353970390309556</v>
      </c>
      <c r="V147" s="5" t="s">
        <v>126</v>
      </c>
      <c r="W147" s="5" t="s">
        <v>177</v>
      </c>
      <c r="X147" s="5" t="s">
        <v>132</v>
      </c>
    </row>
    <row r="148" customFormat="false" ht="15" hidden="false" customHeight="false" outlineLevel="0" collapsed="false">
      <c r="A148" s="2" t="n">
        <v>147</v>
      </c>
      <c r="B148" s="2" t="s">
        <v>283</v>
      </c>
      <c r="C148" s="12" t="n">
        <v>45967</v>
      </c>
      <c r="D148" s="2" t="s">
        <v>158</v>
      </c>
      <c r="E148" s="2" t="s">
        <v>98</v>
      </c>
      <c r="F148" s="2" t="s">
        <v>99</v>
      </c>
      <c r="G148" s="2" t="s">
        <v>94</v>
      </c>
      <c r="H148" s="2" t="s">
        <v>95</v>
      </c>
      <c r="I148" s="9" t="n">
        <v>2</v>
      </c>
      <c r="J148" s="3" t="n">
        <v>2.99</v>
      </c>
      <c r="K148" s="3" t="n">
        <v>5.98</v>
      </c>
      <c r="L148" s="4" t="n">
        <v>0.15</v>
      </c>
      <c r="M148" s="3" t="n">
        <v>0.9</v>
      </c>
      <c r="N148" s="3" t="n">
        <v>0</v>
      </c>
      <c r="O148" s="3" t="n">
        <f aca="false">K148-M148-N148</f>
        <v>5.08</v>
      </c>
      <c r="P148" s="4" t="n">
        <v>0.1</v>
      </c>
      <c r="Q148" s="3" t="n">
        <v>4.62</v>
      </c>
      <c r="R148" s="3" t="n">
        <f aca="false">O148-Q148</f>
        <v>0.46</v>
      </c>
      <c r="S148" s="3" t="n">
        <v>2.4</v>
      </c>
      <c r="T148" s="3" t="n">
        <f aca="false">Q148-S148</f>
        <v>2.22</v>
      </c>
      <c r="U148" s="4" t="n">
        <f aca="false">IF(Q148=0,0,T148/Q148)</f>
        <v>0.480519480519481</v>
      </c>
      <c r="V148" s="2" t="s">
        <v>126</v>
      </c>
      <c r="W148" s="2" t="s">
        <v>177</v>
      </c>
      <c r="X148" s="2" t="s">
        <v>132</v>
      </c>
    </row>
    <row r="149" customFormat="false" ht="15" hidden="false" customHeight="false" outlineLevel="0" collapsed="false">
      <c r="A149" s="5" t="n">
        <v>148</v>
      </c>
      <c r="B149" s="5" t="s">
        <v>283</v>
      </c>
      <c r="C149" s="13" t="n">
        <v>45967</v>
      </c>
      <c r="D149" s="5" t="s">
        <v>158</v>
      </c>
      <c r="E149" s="5" t="s">
        <v>92</v>
      </c>
      <c r="F149" s="5" t="s">
        <v>93</v>
      </c>
      <c r="G149" s="5" t="s">
        <v>94</v>
      </c>
      <c r="H149" s="5" t="s">
        <v>95</v>
      </c>
      <c r="I149" s="11" t="n">
        <v>3</v>
      </c>
      <c r="J149" s="6" t="n">
        <v>4.49</v>
      </c>
      <c r="K149" s="6" t="n">
        <v>13.47</v>
      </c>
      <c r="L149" s="7" t="n">
        <v>0.1</v>
      </c>
      <c r="M149" s="6" t="n">
        <v>1.35</v>
      </c>
      <c r="N149" s="6" t="n">
        <v>0</v>
      </c>
      <c r="O149" s="6" t="n">
        <f aca="false">K149-M149-N149</f>
        <v>12.12</v>
      </c>
      <c r="P149" s="7" t="n">
        <v>0.1</v>
      </c>
      <c r="Q149" s="6" t="n">
        <v>11.02</v>
      </c>
      <c r="R149" s="6" t="n">
        <f aca="false">O149-Q149</f>
        <v>1.1</v>
      </c>
      <c r="S149" s="6" t="n">
        <v>6.3</v>
      </c>
      <c r="T149" s="6" t="n">
        <f aca="false">Q149-S149</f>
        <v>4.72</v>
      </c>
      <c r="U149" s="7" t="n">
        <f aca="false">IF(Q149=0,0,T149/Q149)</f>
        <v>0.428312159709619</v>
      </c>
      <c r="V149" s="5" t="s">
        <v>126</v>
      </c>
      <c r="W149" s="5" t="s">
        <v>177</v>
      </c>
      <c r="X149" s="5" t="s">
        <v>132</v>
      </c>
    </row>
    <row r="150" customFormat="false" ht="15" hidden="false" customHeight="false" outlineLevel="0" collapsed="false">
      <c r="A150" s="2" t="n">
        <v>149</v>
      </c>
      <c r="B150" s="2" t="s">
        <v>284</v>
      </c>
      <c r="C150" s="12" t="n">
        <v>45968</v>
      </c>
      <c r="D150" s="2" t="s">
        <v>164</v>
      </c>
      <c r="E150" s="2" t="s">
        <v>45</v>
      </c>
      <c r="F150" s="2" t="s">
        <v>46</v>
      </c>
      <c r="G150" s="2" t="s">
        <v>38</v>
      </c>
      <c r="H150" s="2" t="s">
        <v>39</v>
      </c>
      <c r="I150" s="9" t="n">
        <v>2</v>
      </c>
      <c r="J150" s="3" t="n">
        <v>79.9</v>
      </c>
      <c r="K150" s="3" t="n">
        <v>159.8</v>
      </c>
      <c r="L150" s="4" t="n">
        <v>0.1</v>
      </c>
      <c r="M150" s="3" t="n">
        <v>15.98</v>
      </c>
      <c r="N150" s="3" t="n">
        <v>0</v>
      </c>
      <c r="O150" s="3" t="n">
        <f aca="false">K150-M150-N150</f>
        <v>143.82</v>
      </c>
      <c r="P150" s="4" t="n">
        <v>0.21</v>
      </c>
      <c r="Q150" s="3" t="n">
        <v>118.86</v>
      </c>
      <c r="R150" s="3" t="n">
        <f aca="false">O150-Q150</f>
        <v>24.96</v>
      </c>
      <c r="S150" s="3" t="n">
        <v>64</v>
      </c>
      <c r="T150" s="3" t="n">
        <f aca="false">Q150-S150</f>
        <v>54.86</v>
      </c>
      <c r="U150" s="4" t="n">
        <f aca="false">IF(Q150=0,0,T150/Q150)</f>
        <v>0.461551405014303</v>
      </c>
      <c r="V150" s="2" t="s">
        <v>126</v>
      </c>
      <c r="W150" s="2" t="s">
        <v>156</v>
      </c>
      <c r="X150" s="2" t="s">
        <v>132</v>
      </c>
    </row>
    <row r="151" customFormat="false" ht="15" hidden="false" customHeight="false" outlineLevel="0" collapsed="false">
      <c r="A151" s="5" t="n">
        <v>150</v>
      </c>
      <c r="B151" s="5" t="s">
        <v>284</v>
      </c>
      <c r="C151" s="13" t="n">
        <v>45968</v>
      </c>
      <c r="D151" s="5" t="s">
        <v>164</v>
      </c>
      <c r="E151" s="5" t="s">
        <v>24</v>
      </c>
      <c r="F151" s="5" t="s">
        <v>25</v>
      </c>
      <c r="G151" s="5" t="s">
        <v>22</v>
      </c>
      <c r="H151" s="5" t="s">
        <v>23</v>
      </c>
      <c r="I151" s="11" t="n">
        <v>1</v>
      </c>
      <c r="J151" s="6" t="n">
        <v>24.9</v>
      </c>
      <c r="K151" s="6" t="n">
        <v>24.9</v>
      </c>
      <c r="L151" s="7" t="n">
        <v>0</v>
      </c>
      <c r="M151" s="6" t="n">
        <v>0</v>
      </c>
      <c r="N151" s="6" t="n">
        <v>0</v>
      </c>
      <c r="O151" s="6" t="n">
        <f aca="false">K151-M151-N151</f>
        <v>24.9</v>
      </c>
      <c r="P151" s="7" t="n">
        <v>0.21</v>
      </c>
      <c r="Q151" s="6" t="n">
        <v>20.58</v>
      </c>
      <c r="R151" s="6" t="n">
        <f aca="false">O151-Q151</f>
        <v>4.32</v>
      </c>
      <c r="S151" s="6" t="n">
        <v>9.8</v>
      </c>
      <c r="T151" s="6" t="n">
        <f aca="false">Q151-S151</f>
        <v>10.78</v>
      </c>
      <c r="U151" s="7" t="n">
        <f aca="false">IF(Q151=0,0,T151/Q151)</f>
        <v>0.523809523809524</v>
      </c>
      <c r="V151" s="5" t="s">
        <v>126</v>
      </c>
      <c r="W151" s="5" t="s">
        <v>156</v>
      </c>
      <c r="X151" s="5" t="s">
        <v>132</v>
      </c>
    </row>
    <row r="152" customFormat="false" ht="15" hidden="false" customHeight="false" outlineLevel="0" collapsed="false">
      <c r="A152" s="2" t="n">
        <v>151</v>
      </c>
      <c r="B152" s="2" t="s">
        <v>285</v>
      </c>
      <c r="C152" s="12" t="n">
        <v>45969</v>
      </c>
      <c r="D152" s="2" t="s">
        <v>139</v>
      </c>
      <c r="E152" s="2" t="s">
        <v>26</v>
      </c>
      <c r="F152" s="2" t="s">
        <v>27</v>
      </c>
      <c r="G152" s="2" t="s">
        <v>22</v>
      </c>
      <c r="H152" s="2" t="s">
        <v>23</v>
      </c>
      <c r="I152" s="9" t="n">
        <v>3</v>
      </c>
      <c r="J152" s="3" t="n">
        <v>79.9</v>
      </c>
      <c r="K152" s="3" t="n">
        <v>239.7</v>
      </c>
      <c r="L152" s="4" t="n">
        <v>0</v>
      </c>
      <c r="M152" s="3" t="n">
        <v>0</v>
      </c>
      <c r="N152" s="3" t="n">
        <v>47.94</v>
      </c>
      <c r="O152" s="3" t="n">
        <f aca="false">K152-M152-N152</f>
        <v>191.76</v>
      </c>
      <c r="P152" s="4" t="n">
        <v>0.21</v>
      </c>
      <c r="Q152" s="3" t="n">
        <v>158.48</v>
      </c>
      <c r="R152" s="3" t="n">
        <f aca="false">O152-Q152</f>
        <v>33.28</v>
      </c>
      <c r="S152" s="3" t="n">
        <v>102</v>
      </c>
      <c r="T152" s="3" t="n">
        <f aca="false">Q152-S152</f>
        <v>56.48</v>
      </c>
      <c r="U152" s="4" t="n">
        <f aca="false">IF(Q152=0,0,T152/Q152)</f>
        <v>0.356385663806158</v>
      </c>
      <c r="V152" s="2" t="s">
        <v>148</v>
      </c>
      <c r="W152" s="2" t="s">
        <v>154</v>
      </c>
      <c r="X152" s="2" t="s">
        <v>132</v>
      </c>
    </row>
    <row r="153" customFormat="false" ht="15" hidden="false" customHeight="false" outlineLevel="0" collapsed="false">
      <c r="A153" s="5" t="n">
        <v>152</v>
      </c>
      <c r="B153" s="5" t="s">
        <v>286</v>
      </c>
      <c r="C153" s="13" t="n">
        <v>45970</v>
      </c>
      <c r="D153" s="5" t="s">
        <v>164</v>
      </c>
      <c r="E153" s="5" t="s">
        <v>98</v>
      </c>
      <c r="F153" s="5" t="s">
        <v>99</v>
      </c>
      <c r="G153" s="5" t="s">
        <v>94</v>
      </c>
      <c r="H153" s="5" t="s">
        <v>95</v>
      </c>
      <c r="I153" s="11" t="n">
        <v>2</v>
      </c>
      <c r="J153" s="6" t="n">
        <v>2.99</v>
      </c>
      <c r="K153" s="6" t="n">
        <v>5.98</v>
      </c>
      <c r="L153" s="7" t="n">
        <v>0</v>
      </c>
      <c r="M153" s="6" t="n">
        <v>0</v>
      </c>
      <c r="N153" s="6" t="n">
        <v>1.2</v>
      </c>
      <c r="O153" s="6" t="n">
        <f aca="false">K153-M153-N153</f>
        <v>4.78</v>
      </c>
      <c r="P153" s="7" t="n">
        <v>0.1</v>
      </c>
      <c r="Q153" s="6" t="n">
        <v>4.35</v>
      </c>
      <c r="R153" s="6" t="n">
        <f aca="false">O153-Q153</f>
        <v>0.430000000000001</v>
      </c>
      <c r="S153" s="6" t="n">
        <v>2.4</v>
      </c>
      <c r="T153" s="6" t="n">
        <f aca="false">Q153-S153</f>
        <v>1.95</v>
      </c>
      <c r="U153" s="7" t="n">
        <f aca="false">IF(Q153=0,0,T153/Q153)</f>
        <v>0.448275862068965</v>
      </c>
      <c r="V153" s="5" t="s">
        <v>126</v>
      </c>
      <c r="W153" s="5" t="s">
        <v>156</v>
      </c>
      <c r="X153" s="5" t="s">
        <v>132</v>
      </c>
    </row>
    <row r="154" customFormat="false" ht="15" hidden="false" customHeight="false" outlineLevel="0" collapsed="false">
      <c r="A154" s="2" t="n">
        <v>153</v>
      </c>
      <c r="B154" s="2" t="s">
        <v>286</v>
      </c>
      <c r="C154" s="12" t="n">
        <v>45970</v>
      </c>
      <c r="D154" s="2" t="s">
        <v>164</v>
      </c>
      <c r="E154" s="2" t="s">
        <v>92</v>
      </c>
      <c r="F154" s="2" t="s">
        <v>93</v>
      </c>
      <c r="G154" s="2" t="s">
        <v>94</v>
      </c>
      <c r="H154" s="2" t="s">
        <v>95</v>
      </c>
      <c r="I154" s="9" t="n">
        <v>1</v>
      </c>
      <c r="J154" s="3" t="n">
        <v>4.49</v>
      </c>
      <c r="K154" s="3" t="n">
        <v>4.49</v>
      </c>
      <c r="L154" s="4" t="n">
        <v>0.15</v>
      </c>
      <c r="M154" s="3" t="n">
        <v>0.67</v>
      </c>
      <c r="N154" s="3" t="n">
        <v>0.76</v>
      </c>
      <c r="O154" s="3" t="n">
        <f aca="false">K154-M154-N154</f>
        <v>3.06</v>
      </c>
      <c r="P154" s="4" t="n">
        <v>0.1</v>
      </c>
      <c r="Q154" s="3" t="n">
        <v>2.78</v>
      </c>
      <c r="R154" s="3" t="n">
        <f aca="false">O154-Q154</f>
        <v>0.280000000000001</v>
      </c>
      <c r="S154" s="3" t="n">
        <v>2.1</v>
      </c>
      <c r="T154" s="3" t="n">
        <f aca="false">Q154-S154</f>
        <v>0.68</v>
      </c>
      <c r="U154" s="4" t="n">
        <f aca="false">IF(Q154=0,0,T154/Q154)</f>
        <v>0.244604316546763</v>
      </c>
      <c r="V154" s="2" t="s">
        <v>126</v>
      </c>
      <c r="W154" s="2" t="s">
        <v>156</v>
      </c>
      <c r="X154" s="2" t="s">
        <v>132</v>
      </c>
    </row>
    <row r="155" customFormat="false" ht="15" hidden="false" customHeight="false" outlineLevel="0" collapsed="false">
      <c r="A155" s="5" t="n">
        <v>154</v>
      </c>
      <c r="B155" s="5" t="s">
        <v>287</v>
      </c>
      <c r="C155" s="13" t="n">
        <v>45971</v>
      </c>
      <c r="D155" s="5" t="s">
        <v>149</v>
      </c>
      <c r="E155" s="5" t="s">
        <v>96</v>
      </c>
      <c r="F155" s="5" t="s">
        <v>97</v>
      </c>
      <c r="G155" s="5" t="s">
        <v>94</v>
      </c>
      <c r="H155" s="5" t="s">
        <v>95</v>
      </c>
      <c r="I155" s="11" t="n">
        <v>1</v>
      </c>
      <c r="J155" s="6" t="n">
        <v>7.99</v>
      </c>
      <c r="K155" s="6" t="n">
        <v>7.99</v>
      </c>
      <c r="L155" s="7" t="n">
        <v>0.1</v>
      </c>
      <c r="M155" s="6" t="n">
        <v>0.8</v>
      </c>
      <c r="N155" s="6" t="n">
        <v>1.44</v>
      </c>
      <c r="O155" s="6" t="n">
        <f aca="false">K155-M155-N155</f>
        <v>5.75</v>
      </c>
      <c r="P155" s="7" t="n">
        <v>0.1</v>
      </c>
      <c r="Q155" s="6" t="n">
        <v>5.23</v>
      </c>
      <c r="R155" s="6" t="n">
        <f aca="false">O155-Q155</f>
        <v>0.52</v>
      </c>
      <c r="S155" s="6" t="n">
        <v>3.4</v>
      </c>
      <c r="T155" s="6" t="n">
        <f aca="false">Q155-S155</f>
        <v>1.83</v>
      </c>
      <c r="U155" s="7" t="n">
        <f aca="false">IF(Q155=0,0,T155/Q155)</f>
        <v>0.349904397705545</v>
      </c>
      <c r="V155" s="5" t="s">
        <v>126</v>
      </c>
      <c r="W155" s="5" t="s">
        <v>177</v>
      </c>
      <c r="X155" s="5" t="s">
        <v>132</v>
      </c>
    </row>
    <row r="156" customFormat="false" ht="15" hidden="false" customHeight="false" outlineLevel="0" collapsed="false">
      <c r="A156" s="2" t="n">
        <v>155</v>
      </c>
      <c r="B156" s="2" t="s">
        <v>287</v>
      </c>
      <c r="C156" s="12" t="n">
        <v>45971</v>
      </c>
      <c r="D156" s="2" t="s">
        <v>149</v>
      </c>
      <c r="E156" s="2" t="s">
        <v>57</v>
      </c>
      <c r="F156" s="2" t="s">
        <v>58</v>
      </c>
      <c r="G156" s="2" t="s">
        <v>59</v>
      </c>
      <c r="H156" s="2" t="s">
        <v>60</v>
      </c>
      <c r="I156" s="9" t="n">
        <v>1</v>
      </c>
      <c r="J156" s="3" t="n">
        <v>39.9</v>
      </c>
      <c r="K156" s="3" t="n">
        <v>39.9</v>
      </c>
      <c r="L156" s="4" t="n">
        <v>0</v>
      </c>
      <c r="M156" s="3" t="n">
        <v>0</v>
      </c>
      <c r="N156" s="3" t="n">
        <v>7.98</v>
      </c>
      <c r="O156" s="3" t="n">
        <f aca="false">K156-M156-N156</f>
        <v>31.92</v>
      </c>
      <c r="P156" s="4" t="n">
        <v>0.21</v>
      </c>
      <c r="Q156" s="3" t="n">
        <v>26.38</v>
      </c>
      <c r="R156" s="3" t="n">
        <f aca="false">O156-Q156</f>
        <v>5.54</v>
      </c>
      <c r="S156" s="3" t="n">
        <v>16</v>
      </c>
      <c r="T156" s="3" t="n">
        <f aca="false">Q156-S156</f>
        <v>10.38</v>
      </c>
      <c r="U156" s="4" t="n">
        <f aca="false">IF(Q156=0,0,T156/Q156)</f>
        <v>0.393479909021986</v>
      </c>
      <c r="V156" s="2" t="s">
        <v>126</v>
      </c>
      <c r="W156" s="2" t="s">
        <v>177</v>
      </c>
      <c r="X156" s="2" t="s">
        <v>132</v>
      </c>
    </row>
    <row r="157" customFormat="false" ht="15" hidden="false" customHeight="false" outlineLevel="0" collapsed="false">
      <c r="A157" s="5" t="n">
        <v>156</v>
      </c>
      <c r="B157" s="5" t="s">
        <v>288</v>
      </c>
      <c r="C157" s="13" t="n">
        <v>45972</v>
      </c>
      <c r="D157" s="5" t="s">
        <v>173</v>
      </c>
      <c r="E157" s="5" t="s">
        <v>63</v>
      </c>
      <c r="F157" s="5" t="s">
        <v>64</v>
      </c>
      <c r="G157" s="5" t="s">
        <v>65</v>
      </c>
      <c r="H157" s="5" t="s">
        <v>66</v>
      </c>
      <c r="I157" s="11" t="n">
        <v>1</v>
      </c>
      <c r="J157" s="6" t="n">
        <v>139</v>
      </c>
      <c r="K157" s="6" t="n">
        <v>139</v>
      </c>
      <c r="L157" s="7" t="n">
        <v>0.05</v>
      </c>
      <c r="M157" s="6" t="n">
        <v>6.95</v>
      </c>
      <c r="N157" s="6" t="n">
        <v>19.81</v>
      </c>
      <c r="O157" s="6" t="n">
        <f aca="false">K157-M157-N157</f>
        <v>112.24</v>
      </c>
      <c r="P157" s="7" t="n">
        <v>0.21</v>
      </c>
      <c r="Q157" s="6" t="n">
        <v>92.76</v>
      </c>
      <c r="R157" s="6" t="n">
        <f aca="false">O157-Q157</f>
        <v>19.48</v>
      </c>
      <c r="S157" s="6" t="n">
        <v>62</v>
      </c>
      <c r="T157" s="6" t="n">
        <f aca="false">Q157-S157</f>
        <v>30.76</v>
      </c>
      <c r="U157" s="7" t="n">
        <f aca="false">IF(Q157=0,0,T157/Q157)</f>
        <v>0.331608451918931</v>
      </c>
      <c r="V157" s="5" t="s">
        <v>126</v>
      </c>
      <c r="W157" s="5" t="s">
        <v>177</v>
      </c>
      <c r="X157" s="5" t="s">
        <v>231</v>
      </c>
    </row>
    <row r="158" customFormat="false" ht="15" hidden="false" customHeight="false" outlineLevel="0" collapsed="false">
      <c r="A158" s="2" t="n">
        <v>157</v>
      </c>
      <c r="B158" s="2" t="s">
        <v>288</v>
      </c>
      <c r="C158" s="12" t="n">
        <v>45972</v>
      </c>
      <c r="D158" s="2" t="s">
        <v>173</v>
      </c>
      <c r="E158" s="2" t="s">
        <v>92</v>
      </c>
      <c r="F158" s="2" t="s">
        <v>93</v>
      </c>
      <c r="G158" s="2" t="s">
        <v>94</v>
      </c>
      <c r="H158" s="2" t="s">
        <v>95</v>
      </c>
      <c r="I158" s="9" t="n">
        <v>12</v>
      </c>
      <c r="J158" s="3" t="n">
        <v>4.49</v>
      </c>
      <c r="K158" s="3" t="n">
        <v>53.88</v>
      </c>
      <c r="L158" s="4" t="n">
        <v>0.15</v>
      </c>
      <c r="M158" s="3" t="n">
        <v>8.08</v>
      </c>
      <c r="N158" s="3" t="n">
        <v>6.87</v>
      </c>
      <c r="O158" s="3" t="n">
        <f aca="false">K158-M158-N158</f>
        <v>38.93</v>
      </c>
      <c r="P158" s="4" t="n">
        <v>0.1</v>
      </c>
      <c r="Q158" s="3" t="n">
        <v>35.39</v>
      </c>
      <c r="R158" s="3" t="n">
        <f aca="false">O158-Q158</f>
        <v>3.54000000000001</v>
      </c>
      <c r="S158" s="3" t="n">
        <v>25.2</v>
      </c>
      <c r="T158" s="3" t="n">
        <f aca="false">Q158-S158</f>
        <v>10.19</v>
      </c>
      <c r="U158" s="4" t="n">
        <f aca="false">IF(Q158=0,0,T158/Q158)</f>
        <v>0.287934444758406</v>
      </c>
      <c r="V158" s="2" t="s">
        <v>126</v>
      </c>
      <c r="W158" s="2" t="s">
        <v>177</v>
      </c>
      <c r="X158" s="2" t="s">
        <v>231</v>
      </c>
    </row>
    <row r="159" customFormat="false" ht="15" hidden="false" customHeight="false" outlineLevel="0" collapsed="false">
      <c r="A159" s="5" t="n">
        <v>158</v>
      </c>
      <c r="B159" s="5" t="s">
        <v>289</v>
      </c>
      <c r="C159" s="13" t="n">
        <v>45973</v>
      </c>
      <c r="D159" s="5" t="s">
        <v>164</v>
      </c>
      <c r="E159" s="5" t="s">
        <v>11</v>
      </c>
      <c r="F159" s="5" t="s">
        <v>12</v>
      </c>
      <c r="G159" s="5" t="s">
        <v>13</v>
      </c>
      <c r="H159" s="5" t="s">
        <v>14</v>
      </c>
      <c r="I159" s="11" t="n">
        <v>3</v>
      </c>
      <c r="J159" s="6" t="n">
        <v>89.9</v>
      </c>
      <c r="K159" s="6" t="n">
        <v>269.7</v>
      </c>
      <c r="L159" s="7" t="n">
        <v>0</v>
      </c>
      <c r="M159" s="6" t="n">
        <v>0</v>
      </c>
      <c r="N159" s="6" t="n">
        <v>0</v>
      </c>
      <c r="O159" s="6" t="n">
        <f aca="false">K159-M159-N159</f>
        <v>269.7</v>
      </c>
      <c r="P159" s="7" t="n">
        <v>0.21</v>
      </c>
      <c r="Q159" s="6" t="n">
        <v>222.89</v>
      </c>
      <c r="R159" s="6" t="n">
        <f aca="false">O159-Q159</f>
        <v>46.81</v>
      </c>
      <c r="S159" s="6" t="n">
        <v>115.5</v>
      </c>
      <c r="T159" s="6" t="n">
        <f aca="false">Q159-S159</f>
        <v>107.39</v>
      </c>
      <c r="U159" s="7" t="n">
        <f aca="false">IF(Q159=0,0,T159/Q159)</f>
        <v>0.481807169455785</v>
      </c>
      <c r="V159" s="5" t="s">
        <v>126</v>
      </c>
      <c r="W159" s="5" t="s">
        <v>156</v>
      </c>
      <c r="X159" s="5" t="s">
        <v>132</v>
      </c>
    </row>
    <row r="160" customFormat="false" ht="15" hidden="false" customHeight="false" outlineLevel="0" collapsed="false">
      <c r="A160" s="2" t="n">
        <v>159</v>
      </c>
      <c r="B160" s="2" t="s">
        <v>290</v>
      </c>
      <c r="C160" s="12" t="n">
        <v>45973</v>
      </c>
      <c r="D160" s="2" t="s">
        <v>158</v>
      </c>
      <c r="E160" s="2" t="s">
        <v>69</v>
      </c>
      <c r="F160" s="2" t="s">
        <v>70</v>
      </c>
      <c r="G160" s="2" t="s">
        <v>71</v>
      </c>
      <c r="H160" s="2" t="s">
        <v>72</v>
      </c>
      <c r="I160" s="9" t="n">
        <v>3</v>
      </c>
      <c r="J160" s="3" t="n">
        <v>22.9</v>
      </c>
      <c r="K160" s="3" t="n">
        <v>68.7</v>
      </c>
      <c r="L160" s="4" t="n">
        <v>0</v>
      </c>
      <c r="M160" s="3" t="n">
        <v>0</v>
      </c>
      <c r="N160" s="3" t="n">
        <v>10.3</v>
      </c>
      <c r="O160" s="3" t="n">
        <f aca="false">K160-M160-N160</f>
        <v>58.4</v>
      </c>
      <c r="P160" s="4" t="n">
        <v>0.21</v>
      </c>
      <c r="Q160" s="3" t="n">
        <v>48.26</v>
      </c>
      <c r="R160" s="3" t="n">
        <f aca="false">O160-Q160</f>
        <v>10.14</v>
      </c>
      <c r="S160" s="3" t="n">
        <v>24</v>
      </c>
      <c r="T160" s="3" t="n">
        <f aca="false">Q160-S160</f>
        <v>24.26</v>
      </c>
      <c r="U160" s="4" t="n">
        <f aca="false">IF(Q160=0,0,T160/Q160)</f>
        <v>0.50269374222959</v>
      </c>
      <c r="V160" s="2" t="s">
        <v>126</v>
      </c>
      <c r="W160" s="2" t="s">
        <v>154</v>
      </c>
      <c r="X160" s="2" t="s">
        <v>132</v>
      </c>
    </row>
    <row r="161" customFormat="false" ht="15" hidden="false" customHeight="false" outlineLevel="0" collapsed="false">
      <c r="A161" s="5" t="n">
        <v>160</v>
      </c>
      <c r="B161" s="5" t="s">
        <v>291</v>
      </c>
      <c r="C161" s="13" t="n">
        <v>45974</v>
      </c>
      <c r="D161" s="5" t="s">
        <v>164</v>
      </c>
      <c r="E161" s="5" t="s">
        <v>81</v>
      </c>
      <c r="F161" s="5" t="s">
        <v>82</v>
      </c>
      <c r="G161" s="5" t="s">
        <v>79</v>
      </c>
      <c r="H161" s="5" t="s">
        <v>80</v>
      </c>
      <c r="I161" s="11" t="n">
        <v>1</v>
      </c>
      <c r="J161" s="6" t="n">
        <v>19.9</v>
      </c>
      <c r="K161" s="6" t="n">
        <v>19.9</v>
      </c>
      <c r="L161" s="7" t="n">
        <v>0</v>
      </c>
      <c r="M161" s="6" t="n">
        <v>0</v>
      </c>
      <c r="N161" s="6" t="n">
        <v>2.99</v>
      </c>
      <c r="O161" s="6" t="n">
        <f aca="false">K161-M161-N161</f>
        <v>16.91</v>
      </c>
      <c r="P161" s="7" t="n">
        <v>0.21</v>
      </c>
      <c r="Q161" s="6" t="n">
        <v>13.98</v>
      </c>
      <c r="R161" s="6" t="n">
        <f aca="false">O161-Q161</f>
        <v>2.93</v>
      </c>
      <c r="S161" s="6" t="n">
        <v>7</v>
      </c>
      <c r="T161" s="6" t="n">
        <f aca="false">Q161-S161</f>
        <v>6.98</v>
      </c>
      <c r="U161" s="7" t="n">
        <f aca="false">IF(Q161=0,0,T161/Q161)</f>
        <v>0.49928469241774</v>
      </c>
      <c r="V161" s="5" t="s">
        <v>126</v>
      </c>
      <c r="W161" s="5" t="s">
        <v>177</v>
      </c>
      <c r="X161" s="5" t="s">
        <v>132</v>
      </c>
    </row>
    <row r="162" customFormat="false" ht="15" hidden="false" customHeight="false" outlineLevel="0" collapsed="false">
      <c r="A162" s="2" t="n">
        <v>161</v>
      </c>
      <c r="B162" s="2" t="s">
        <v>291</v>
      </c>
      <c r="C162" s="12" t="n">
        <v>45974</v>
      </c>
      <c r="D162" s="2" t="s">
        <v>164</v>
      </c>
      <c r="E162" s="2" t="s">
        <v>96</v>
      </c>
      <c r="F162" s="2" t="s">
        <v>97</v>
      </c>
      <c r="G162" s="2" t="s">
        <v>94</v>
      </c>
      <c r="H162" s="2" t="s">
        <v>95</v>
      </c>
      <c r="I162" s="9" t="n">
        <v>1</v>
      </c>
      <c r="J162" s="3" t="n">
        <v>7.99</v>
      </c>
      <c r="K162" s="3" t="n">
        <v>7.99</v>
      </c>
      <c r="L162" s="4" t="n">
        <v>0.05</v>
      </c>
      <c r="M162" s="3" t="n">
        <v>0.4</v>
      </c>
      <c r="N162" s="3" t="n">
        <v>1.14</v>
      </c>
      <c r="O162" s="3" t="n">
        <f aca="false">K162-M162-N162</f>
        <v>6.45</v>
      </c>
      <c r="P162" s="4" t="n">
        <v>0.1</v>
      </c>
      <c r="Q162" s="3" t="n">
        <v>5.86</v>
      </c>
      <c r="R162" s="3" t="n">
        <f aca="false">O162-Q162</f>
        <v>0.59</v>
      </c>
      <c r="S162" s="3" t="n">
        <v>3.4</v>
      </c>
      <c r="T162" s="3" t="n">
        <f aca="false">Q162-S162</f>
        <v>2.46</v>
      </c>
      <c r="U162" s="4" t="n">
        <f aca="false">IF(Q162=0,0,T162/Q162)</f>
        <v>0.419795221843003</v>
      </c>
      <c r="V162" s="2" t="s">
        <v>126</v>
      </c>
      <c r="W162" s="2" t="s">
        <v>177</v>
      </c>
      <c r="X162" s="2" t="s">
        <v>132</v>
      </c>
    </row>
    <row r="163" customFormat="false" ht="15" hidden="false" customHeight="false" outlineLevel="0" collapsed="false">
      <c r="A163" s="5" t="n">
        <v>162</v>
      </c>
      <c r="B163" s="5" t="s">
        <v>291</v>
      </c>
      <c r="C163" s="13" t="n">
        <v>45974</v>
      </c>
      <c r="D163" s="5" t="s">
        <v>164</v>
      </c>
      <c r="E163" s="5" t="s">
        <v>24</v>
      </c>
      <c r="F163" s="5" t="s">
        <v>25</v>
      </c>
      <c r="G163" s="5" t="s">
        <v>22</v>
      </c>
      <c r="H163" s="5" t="s">
        <v>23</v>
      </c>
      <c r="I163" s="11" t="n">
        <v>2</v>
      </c>
      <c r="J163" s="6" t="n">
        <v>24.9</v>
      </c>
      <c r="K163" s="6" t="n">
        <v>49.8</v>
      </c>
      <c r="L163" s="7" t="n">
        <v>0.1</v>
      </c>
      <c r="M163" s="6" t="n">
        <v>4.98</v>
      </c>
      <c r="N163" s="6" t="n">
        <v>6.72</v>
      </c>
      <c r="O163" s="6" t="n">
        <f aca="false">K163-M163-N163</f>
        <v>38.1</v>
      </c>
      <c r="P163" s="7" t="n">
        <v>0.21</v>
      </c>
      <c r="Q163" s="6" t="n">
        <v>31.49</v>
      </c>
      <c r="R163" s="6" t="n">
        <f aca="false">O163-Q163</f>
        <v>6.61</v>
      </c>
      <c r="S163" s="6" t="n">
        <v>19.6</v>
      </c>
      <c r="T163" s="6" t="n">
        <f aca="false">Q163-S163</f>
        <v>11.89</v>
      </c>
      <c r="U163" s="7" t="n">
        <f aca="false">IF(Q163=0,0,T163/Q163)</f>
        <v>0.377580184185456</v>
      </c>
      <c r="V163" s="5" t="s">
        <v>126</v>
      </c>
      <c r="W163" s="5" t="s">
        <v>177</v>
      </c>
      <c r="X163" s="5" t="s">
        <v>132</v>
      </c>
    </row>
    <row r="164" customFormat="false" ht="15" hidden="false" customHeight="false" outlineLevel="0" collapsed="false">
      <c r="A164" s="2" t="n">
        <v>163</v>
      </c>
      <c r="B164" s="2" t="s">
        <v>292</v>
      </c>
      <c r="C164" s="12" t="n">
        <v>45974</v>
      </c>
      <c r="D164" s="2" t="s">
        <v>149</v>
      </c>
      <c r="E164" s="2" t="s">
        <v>20</v>
      </c>
      <c r="F164" s="2" t="s">
        <v>21</v>
      </c>
      <c r="G164" s="2" t="s">
        <v>22</v>
      </c>
      <c r="H164" s="2" t="s">
        <v>23</v>
      </c>
      <c r="I164" s="9" t="n">
        <v>2</v>
      </c>
      <c r="J164" s="3" t="n">
        <v>799</v>
      </c>
      <c r="K164" s="3" t="n">
        <v>1598</v>
      </c>
      <c r="L164" s="4" t="n">
        <v>0</v>
      </c>
      <c r="M164" s="3" t="n">
        <v>0</v>
      </c>
      <c r="N164" s="3" t="n">
        <v>319.6</v>
      </c>
      <c r="O164" s="3" t="n">
        <f aca="false">K164-M164-N164</f>
        <v>1278.4</v>
      </c>
      <c r="P164" s="4" t="n">
        <v>0.21</v>
      </c>
      <c r="Q164" s="3" t="n">
        <v>1056.53</v>
      </c>
      <c r="R164" s="3" t="n">
        <f aca="false">O164-Q164</f>
        <v>221.87</v>
      </c>
      <c r="S164" s="3" t="n">
        <v>1100</v>
      </c>
      <c r="T164" s="3" t="n">
        <f aca="false">Q164-S164</f>
        <v>-43.47</v>
      </c>
      <c r="U164" s="4" t="n">
        <f aca="false">IF(Q164=0,0,T164/Q164)</f>
        <v>-0.0411441227414272</v>
      </c>
      <c r="V164" s="2" t="s">
        <v>193</v>
      </c>
      <c r="W164" s="2" t="s">
        <v>156</v>
      </c>
      <c r="X164" s="2" t="s">
        <v>132</v>
      </c>
    </row>
    <row r="165" customFormat="false" ht="15" hidden="false" customHeight="false" outlineLevel="0" collapsed="false">
      <c r="A165" s="5" t="n">
        <v>164</v>
      </c>
      <c r="B165" s="5" t="s">
        <v>293</v>
      </c>
      <c r="C165" s="13" t="n">
        <v>45975</v>
      </c>
      <c r="D165" s="5" t="s">
        <v>158</v>
      </c>
      <c r="E165" s="5" t="s">
        <v>16</v>
      </c>
      <c r="F165" s="5" t="s">
        <v>17</v>
      </c>
      <c r="G165" s="5" t="s">
        <v>13</v>
      </c>
      <c r="H165" s="5" t="s">
        <v>14</v>
      </c>
      <c r="I165" s="11" t="n">
        <v>1</v>
      </c>
      <c r="J165" s="6" t="n">
        <v>54.9</v>
      </c>
      <c r="K165" s="6" t="n">
        <v>54.9</v>
      </c>
      <c r="L165" s="7" t="n">
        <v>0.05</v>
      </c>
      <c r="M165" s="6" t="n">
        <v>2.74</v>
      </c>
      <c r="N165" s="6" t="n">
        <v>0</v>
      </c>
      <c r="O165" s="6" t="n">
        <f aca="false">K165-M165-N165</f>
        <v>52.16</v>
      </c>
      <c r="P165" s="7" t="n">
        <v>0.21</v>
      </c>
      <c r="Q165" s="6" t="n">
        <v>43.11</v>
      </c>
      <c r="R165" s="6" t="n">
        <f aca="false">O165-Q165</f>
        <v>9.05</v>
      </c>
      <c r="S165" s="6" t="n">
        <v>22</v>
      </c>
      <c r="T165" s="6" t="n">
        <f aca="false">Q165-S165</f>
        <v>21.11</v>
      </c>
      <c r="U165" s="7" t="n">
        <f aca="false">IF(Q165=0,0,T165/Q165)</f>
        <v>0.489677569009511</v>
      </c>
      <c r="V165" s="5" t="s">
        <v>138</v>
      </c>
      <c r="W165" s="5" t="s">
        <v>136</v>
      </c>
      <c r="X165" s="5" t="s">
        <v>132</v>
      </c>
    </row>
    <row r="166" customFormat="false" ht="15" hidden="false" customHeight="false" outlineLevel="0" collapsed="false">
      <c r="A166" s="2" t="n">
        <v>165</v>
      </c>
      <c r="B166" s="2" t="s">
        <v>294</v>
      </c>
      <c r="C166" s="12" t="n">
        <v>45975</v>
      </c>
      <c r="D166" s="2" t="s">
        <v>179</v>
      </c>
      <c r="E166" s="2" t="s">
        <v>77</v>
      </c>
      <c r="F166" s="2" t="s">
        <v>78</v>
      </c>
      <c r="G166" s="2" t="s">
        <v>79</v>
      </c>
      <c r="H166" s="2" t="s">
        <v>80</v>
      </c>
      <c r="I166" s="9" t="n">
        <v>1</v>
      </c>
      <c r="J166" s="3" t="n">
        <v>59.9</v>
      </c>
      <c r="K166" s="3" t="n">
        <v>59.9</v>
      </c>
      <c r="L166" s="4" t="n">
        <v>0</v>
      </c>
      <c r="M166" s="3" t="n">
        <v>0</v>
      </c>
      <c r="N166" s="3" t="n">
        <v>11.98</v>
      </c>
      <c r="O166" s="3" t="n">
        <f aca="false">K166-M166-N166</f>
        <v>47.92</v>
      </c>
      <c r="P166" s="4" t="n">
        <v>0.21</v>
      </c>
      <c r="Q166" s="3" t="n">
        <v>39.6</v>
      </c>
      <c r="R166" s="3" t="n">
        <f aca="false">O166-Q166</f>
        <v>8.32</v>
      </c>
      <c r="S166" s="3" t="n">
        <v>24</v>
      </c>
      <c r="T166" s="3" t="n">
        <f aca="false">Q166-S166</f>
        <v>15.6</v>
      </c>
      <c r="U166" s="4" t="n">
        <f aca="false">IF(Q166=0,0,T166/Q166)</f>
        <v>0.393939393939394</v>
      </c>
      <c r="V166" s="2" t="s">
        <v>193</v>
      </c>
      <c r="W166" s="2" t="s">
        <v>156</v>
      </c>
      <c r="X166" s="2" t="s">
        <v>132</v>
      </c>
    </row>
    <row r="167" customFormat="false" ht="15" hidden="false" customHeight="false" outlineLevel="0" collapsed="false">
      <c r="A167" s="5" t="n">
        <v>166</v>
      </c>
      <c r="B167" s="5" t="s">
        <v>295</v>
      </c>
      <c r="C167" s="13" t="n">
        <v>45975</v>
      </c>
      <c r="D167" s="5" t="s">
        <v>173</v>
      </c>
      <c r="E167" s="5" t="s">
        <v>40</v>
      </c>
      <c r="F167" s="5" t="s">
        <v>41</v>
      </c>
      <c r="G167" s="5" t="s">
        <v>38</v>
      </c>
      <c r="H167" s="5" t="s">
        <v>39</v>
      </c>
      <c r="I167" s="11" t="n">
        <v>1</v>
      </c>
      <c r="J167" s="6" t="n">
        <v>12.9</v>
      </c>
      <c r="K167" s="6" t="n">
        <v>12.9</v>
      </c>
      <c r="L167" s="7" t="n">
        <v>0</v>
      </c>
      <c r="M167" s="6" t="n">
        <v>0</v>
      </c>
      <c r="N167" s="6" t="n">
        <v>0</v>
      </c>
      <c r="O167" s="6" t="n">
        <f aca="false">K167-M167-N167</f>
        <v>12.9</v>
      </c>
      <c r="P167" s="7" t="n">
        <v>0.21</v>
      </c>
      <c r="Q167" s="6" t="n">
        <v>10.66</v>
      </c>
      <c r="R167" s="6" t="n">
        <f aca="false">O167-Q167</f>
        <v>2.24</v>
      </c>
      <c r="S167" s="6" t="n">
        <v>2.1</v>
      </c>
      <c r="T167" s="6" t="n">
        <f aca="false">Q167-S167</f>
        <v>8.56</v>
      </c>
      <c r="U167" s="7" t="n">
        <f aca="false">IF(Q167=0,0,T167/Q167)</f>
        <v>0.803001876172608</v>
      </c>
      <c r="V167" s="5" t="s">
        <v>138</v>
      </c>
      <c r="W167" s="5" t="s">
        <v>154</v>
      </c>
      <c r="X167" s="5" t="s">
        <v>132</v>
      </c>
    </row>
    <row r="168" customFormat="false" ht="15" hidden="false" customHeight="false" outlineLevel="0" collapsed="false">
      <c r="A168" s="2" t="n">
        <v>167</v>
      </c>
      <c r="B168" s="2" t="s">
        <v>295</v>
      </c>
      <c r="C168" s="12" t="n">
        <v>45975</v>
      </c>
      <c r="D168" s="2" t="s">
        <v>173</v>
      </c>
      <c r="E168" s="2" t="s">
        <v>81</v>
      </c>
      <c r="F168" s="2" t="s">
        <v>82</v>
      </c>
      <c r="G168" s="2" t="s">
        <v>79</v>
      </c>
      <c r="H168" s="2" t="s">
        <v>80</v>
      </c>
      <c r="I168" s="9" t="n">
        <v>1</v>
      </c>
      <c r="J168" s="3" t="n">
        <v>19.9</v>
      </c>
      <c r="K168" s="3" t="n">
        <v>19.9</v>
      </c>
      <c r="L168" s="4" t="n">
        <v>0</v>
      </c>
      <c r="M168" s="3" t="n">
        <v>0</v>
      </c>
      <c r="N168" s="3" t="n">
        <v>0</v>
      </c>
      <c r="O168" s="3" t="n">
        <f aca="false">K168-M168-N168</f>
        <v>19.9</v>
      </c>
      <c r="P168" s="4" t="n">
        <v>0.21</v>
      </c>
      <c r="Q168" s="3" t="n">
        <v>16.45</v>
      </c>
      <c r="R168" s="3" t="n">
        <f aca="false">O168-Q168</f>
        <v>3.45</v>
      </c>
      <c r="S168" s="3" t="n">
        <v>7</v>
      </c>
      <c r="T168" s="3" t="n">
        <f aca="false">Q168-S168</f>
        <v>9.45</v>
      </c>
      <c r="U168" s="4" t="n">
        <f aca="false">IF(Q168=0,0,T168/Q168)</f>
        <v>0.574468085106383</v>
      </c>
      <c r="V168" s="2" t="s">
        <v>138</v>
      </c>
      <c r="W168" s="2" t="s">
        <v>154</v>
      </c>
      <c r="X168" s="2" t="s">
        <v>132</v>
      </c>
    </row>
    <row r="169" customFormat="false" ht="15" hidden="false" customHeight="false" outlineLevel="0" collapsed="false">
      <c r="A169" s="5" t="n">
        <v>168</v>
      </c>
      <c r="B169" s="5" t="s">
        <v>296</v>
      </c>
      <c r="C169" s="13" t="n">
        <v>45976</v>
      </c>
      <c r="D169" s="5" t="s">
        <v>149</v>
      </c>
      <c r="E169" s="5" t="s">
        <v>34</v>
      </c>
      <c r="F169" s="5" t="s">
        <v>35</v>
      </c>
      <c r="G169" s="5" t="s">
        <v>30</v>
      </c>
      <c r="H169" s="5" t="s">
        <v>23</v>
      </c>
      <c r="I169" s="11" t="n">
        <v>1</v>
      </c>
      <c r="J169" s="6" t="n">
        <v>44.9</v>
      </c>
      <c r="K169" s="6" t="n">
        <v>44.9</v>
      </c>
      <c r="L169" s="7" t="n">
        <v>0</v>
      </c>
      <c r="M169" s="6" t="n">
        <v>0</v>
      </c>
      <c r="N169" s="6" t="n">
        <v>0</v>
      </c>
      <c r="O169" s="6" t="n">
        <f aca="false">K169-M169-N169</f>
        <v>44.9</v>
      </c>
      <c r="P169" s="7" t="n">
        <v>0.21</v>
      </c>
      <c r="Q169" s="6" t="n">
        <v>37.11</v>
      </c>
      <c r="R169" s="6" t="n">
        <f aca="false">O169-Q169</f>
        <v>7.79</v>
      </c>
      <c r="S169" s="6" t="n">
        <v>19</v>
      </c>
      <c r="T169" s="6" t="n">
        <f aca="false">Q169-S169</f>
        <v>18.11</v>
      </c>
      <c r="U169" s="7" t="n">
        <f aca="false">IF(Q169=0,0,T169/Q169)</f>
        <v>0.488008623012665</v>
      </c>
      <c r="V169" s="5" t="s">
        <v>172</v>
      </c>
      <c r="W169" s="5" t="s">
        <v>154</v>
      </c>
      <c r="X169" s="5" t="s">
        <v>185</v>
      </c>
    </row>
    <row r="170" customFormat="false" ht="15" hidden="false" customHeight="false" outlineLevel="0" collapsed="false">
      <c r="A170" s="2" t="n">
        <v>169</v>
      </c>
      <c r="B170" s="2" t="s">
        <v>297</v>
      </c>
      <c r="C170" s="12" t="n">
        <v>45976</v>
      </c>
      <c r="D170" s="2" t="s">
        <v>158</v>
      </c>
      <c r="E170" s="2" t="s">
        <v>73</v>
      </c>
      <c r="F170" s="2" t="s">
        <v>74</v>
      </c>
      <c r="G170" s="2" t="s">
        <v>71</v>
      </c>
      <c r="H170" s="2" t="s">
        <v>72</v>
      </c>
      <c r="I170" s="9" t="n">
        <v>4</v>
      </c>
      <c r="J170" s="3" t="n">
        <v>69.9</v>
      </c>
      <c r="K170" s="3" t="n">
        <v>279.6</v>
      </c>
      <c r="L170" s="4" t="n">
        <v>0</v>
      </c>
      <c r="M170" s="3" t="n">
        <v>0</v>
      </c>
      <c r="N170" s="3" t="n">
        <v>0</v>
      </c>
      <c r="O170" s="3" t="n">
        <f aca="false">K170-M170-N170</f>
        <v>279.6</v>
      </c>
      <c r="P170" s="4" t="n">
        <v>0.21</v>
      </c>
      <c r="Q170" s="3" t="n">
        <v>231.07</v>
      </c>
      <c r="R170" s="3" t="n">
        <f aca="false">O170-Q170</f>
        <v>48.53</v>
      </c>
      <c r="S170" s="3" t="n">
        <v>116</v>
      </c>
      <c r="T170" s="3" t="n">
        <f aca="false">Q170-S170</f>
        <v>115.07</v>
      </c>
      <c r="U170" s="4" t="n">
        <f aca="false">IF(Q170=0,0,T170/Q170)</f>
        <v>0.497987622798286</v>
      </c>
      <c r="V170" s="2" t="s">
        <v>138</v>
      </c>
      <c r="W170" s="2" t="s">
        <v>154</v>
      </c>
      <c r="X170" s="2" t="s">
        <v>231</v>
      </c>
    </row>
    <row r="171" customFormat="false" ht="15" hidden="false" customHeight="false" outlineLevel="0" collapsed="false">
      <c r="A171" s="5" t="n">
        <v>170</v>
      </c>
      <c r="B171" s="5" t="s">
        <v>298</v>
      </c>
      <c r="C171" s="13" t="n">
        <v>45976</v>
      </c>
      <c r="D171" s="5" t="s">
        <v>149</v>
      </c>
      <c r="E171" s="5" t="s">
        <v>92</v>
      </c>
      <c r="F171" s="5" t="s">
        <v>93</v>
      </c>
      <c r="G171" s="5" t="s">
        <v>94</v>
      </c>
      <c r="H171" s="5" t="s">
        <v>95</v>
      </c>
      <c r="I171" s="11" t="n">
        <v>3</v>
      </c>
      <c r="J171" s="6" t="n">
        <v>4.49</v>
      </c>
      <c r="K171" s="6" t="n">
        <v>13.47</v>
      </c>
      <c r="L171" s="7" t="n">
        <v>0</v>
      </c>
      <c r="M171" s="6" t="n">
        <v>0</v>
      </c>
      <c r="N171" s="6" t="n">
        <v>0</v>
      </c>
      <c r="O171" s="6" t="n">
        <f aca="false">K171-M171-N171</f>
        <v>13.47</v>
      </c>
      <c r="P171" s="7" t="n">
        <v>0.1</v>
      </c>
      <c r="Q171" s="6" t="n">
        <v>12.25</v>
      </c>
      <c r="R171" s="6" t="n">
        <f aca="false">O171-Q171</f>
        <v>1.22</v>
      </c>
      <c r="S171" s="6" t="n">
        <v>6.3</v>
      </c>
      <c r="T171" s="6" t="n">
        <f aca="false">Q171-S171</f>
        <v>5.95</v>
      </c>
      <c r="U171" s="7" t="n">
        <f aca="false">IF(Q171=0,0,T171/Q171)</f>
        <v>0.485714285714286</v>
      </c>
      <c r="V171" s="5" t="s">
        <v>148</v>
      </c>
      <c r="W171" s="5" t="s">
        <v>177</v>
      </c>
      <c r="X171" s="5" t="s">
        <v>132</v>
      </c>
    </row>
    <row r="172" customFormat="false" ht="15" hidden="false" customHeight="false" outlineLevel="0" collapsed="false">
      <c r="A172" s="2" t="n">
        <v>171</v>
      </c>
      <c r="B172" s="2" t="s">
        <v>298</v>
      </c>
      <c r="C172" s="12" t="n">
        <v>45976</v>
      </c>
      <c r="D172" s="2" t="s">
        <v>149</v>
      </c>
      <c r="E172" s="2" t="s">
        <v>18</v>
      </c>
      <c r="F172" s="2" t="s">
        <v>19</v>
      </c>
      <c r="G172" s="2" t="s">
        <v>13</v>
      </c>
      <c r="H172" s="2" t="s">
        <v>14</v>
      </c>
      <c r="I172" s="9" t="n">
        <v>1</v>
      </c>
      <c r="J172" s="3" t="n">
        <v>199</v>
      </c>
      <c r="K172" s="3" t="n">
        <v>199</v>
      </c>
      <c r="L172" s="4" t="n">
        <v>0.1</v>
      </c>
      <c r="M172" s="3" t="n">
        <v>19.9</v>
      </c>
      <c r="N172" s="3" t="n">
        <v>0</v>
      </c>
      <c r="O172" s="3" t="n">
        <f aca="false">K172-M172-N172</f>
        <v>179.1</v>
      </c>
      <c r="P172" s="4" t="n">
        <v>0.21</v>
      </c>
      <c r="Q172" s="3" t="n">
        <v>148.02</v>
      </c>
      <c r="R172" s="3" t="n">
        <f aca="false">O172-Q172</f>
        <v>31.08</v>
      </c>
      <c r="S172" s="3" t="n">
        <v>95</v>
      </c>
      <c r="T172" s="3" t="n">
        <f aca="false">Q172-S172</f>
        <v>53.02</v>
      </c>
      <c r="U172" s="4" t="n">
        <f aca="false">IF(Q172=0,0,T172/Q172)</f>
        <v>0.358194838535333</v>
      </c>
      <c r="V172" s="2" t="s">
        <v>148</v>
      </c>
      <c r="W172" s="2" t="s">
        <v>177</v>
      </c>
      <c r="X172" s="2" t="s">
        <v>132</v>
      </c>
    </row>
    <row r="173" customFormat="false" ht="15" hidden="false" customHeight="false" outlineLevel="0" collapsed="false">
      <c r="A173" s="5" t="n">
        <v>172</v>
      </c>
      <c r="B173" s="5" t="s">
        <v>298</v>
      </c>
      <c r="C173" s="13" t="n">
        <v>45976</v>
      </c>
      <c r="D173" s="5" t="s">
        <v>149</v>
      </c>
      <c r="E173" s="5" t="s">
        <v>45</v>
      </c>
      <c r="F173" s="5" t="s">
        <v>46</v>
      </c>
      <c r="G173" s="5" t="s">
        <v>38</v>
      </c>
      <c r="H173" s="5" t="s">
        <v>39</v>
      </c>
      <c r="I173" s="11" t="n">
        <v>1</v>
      </c>
      <c r="J173" s="6" t="n">
        <v>79.9</v>
      </c>
      <c r="K173" s="6" t="n">
        <v>79.9</v>
      </c>
      <c r="L173" s="7" t="n">
        <v>0</v>
      </c>
      <c r="M173" s="6" t="n">
        <v>0</v>
      </c>
      <c r="N173" s="6" t="n">
        <v>0</v>
      </c>
      <c r="O173" s="6" t="n">
        <f aca="false">K173-M173-N173</f>
        <v>79.9</v>
      </c>
      <c r="P173" s="7" t="n">
        <v>0.21</v>
      </c>
      <c r="Q173" s="6" t="n">
        <v>66.03</v>
      </c>
      <c r="R173" s="6" t="n">
        <f aca="false">O173-Q173</f>
        <v>13.87</v>
      </c>
      <c r="S173" s="6" t="n">
        <v>32</v>
      </c>
      <c r="T173" s="6" t="n">
        <f aca="false">Q173-S173</f>
        <v>34.03</v>
      </c>
      <c r="U173" s="7" t="n">
        <f aca="false">IF(Q173=0,0,T173/Q173)</f>
        <v>0.515371800696653</v>
      </c>
      <c r="V173" s="5" t="s">
        <v>148</v>
      </c>
      <c r="W173" s="5" t="s">
        <v>177</v>
      </c>
      <c r="X173" s="5" t="s">
        <v>132</v>
      </c>
    </row>
    <row r="174" customFormat="false" ht="15" hidden="false" customHeight="false" outlineLevel="0" collapsed="false">
      <c r="A174" s="2" t="n">
        <v>173</v>
      </c>
      <c r="B174" s="2" t="s">
        <v>299</v>
      </c>
      <c r="C174" s="12" t="n">
        <v>45976</v>
      </c>
      <c r="D174" s="2" t="s">
        <v>179</v>
      </c>
      <c r="E174" s="2" t="s">
        <v>96</v>
      </c>
      <c r="F174" s="2" t="s">
        <v>97</v>
      </c>
      <c r="G174" s="2" t="s">
        <v>94</v>
      </c>
      <c r="H174" s="2" t="s">
        <v>95</v>
      </c>
      <c r="I174" s="9" t="n">
        <v>1</v>
      </c>
      <c r="J174" s="3" t="n">
        <v>7.99</v>
      </c>
      <c r="K174" s="3" t="n">
        <v>7.99</v>
      </c>
      <c r="L174" s="4" t="n">
        <v>0.05</v>
      </c>
      <c r="M174" s="3" t="n">
        <v>0.4</v>
      </c>
      <c r="N174" s="3" t="n">
        <v>0</v>
      </c>
      <c r="O174" s="3" t="n">
        <f aca="false">K174-M174-N174</f>
        <v>7.59</v>
      </c>
      <c r="P174" s="4" t="n">
        <v>0.1</v>
      </c>
      <c r="Q174" s="3" t="n">
        <v>6.9</v>
      </c>
      <c r="R174" s="3" t="n">
        <f aca="false">O174-Q174</f>
        <v>0.69</v>
      </c>
      <c r="S174" s="3" t="n">
        <v>3.4</v>
      </c>
      <c r="T174" s="3" t="n">
        <f aca="false">Q174-S174</f>
        <v>3.5</v>
      </c>
      <c r="U174" s="4" t="n">
        <f aca="false">IF(Q174=0,0,T174/Q174)</f>
        <v>0.507246376811594</v>
      </c>
      <c r="V174" s="2" t="s">
        <v>126</v>
      </c>
      <c r="W174" s="2" t="s">
        <v>156</v>
      </c>
      <c r="X174" s="2" t="s">
        <v>185</v>
      </c>
    </row>
    <row r="175" customFormat="false" ht="15" hidden="false" customHeight="false" outlineLevel="0" collapsed="false">
      <c r="A175" s="5" t="n">
        <v>174</v>
      </c>
      <c r="B175" s="5" t="s">
        <v>300</v>
      </c>
      <c r="C175" s="13" t="n">
        <v>45977</v>
      </c>
      <c r="D175" s="5" t="s">
        <v>258</v>
      </c>
      <c r="E175" s="5" t="s">
        <v>96</v>
      </c>
      <c r="F175" s="5" t="s">
        <v>97</v>
      </c>
      <c r="G175" s="5" t="s">
        <v>94</v>
      </c>
      <c r="H175" s="5" t="s">
        <v>95</v>
      </c>
      <c r="I175" s="11" t="n">
        <v>2</v>
      </c>
      <c r="J175" s="6" t="n">
        <v>7.99</v>
      </c>
      <c r="K175" s="6" t="n">
        <v>15.98</v>
      </c>
      <c r="L175" s="7" t="n">
        <v>0</v>
      </c>
      <c r="M175" s="6" t="n">
        <v>0</v>
      </c>
      <c r="N175" s="6" t="n">
        <v>3.2</v>
      </c>
      <c r="O175" s="6" t="n">
        <f aca="false">K175-M175-N175</f>
        <v>12.78</v>
      </c>
      <c r="P175" s="7" t="n">
        <v>0.1</v>
      </c>
      <c r="Q175" s="6" t="n">
        <v>11.62</v>
      </c>
      <c r="R175" s="6" t="n">
        <f aca="false">O175-Q175</f>
        <v>1.16</v>
      </c>
      <c r="S175" s="6" t="n">
        <v>6.8</v>
      </c>
      <c r="T175" s="6" t="n">
        <f aca="false">Q175-S175</f>
        <v>4.82</v>
      </c>
      <c r="U175" s="7" t="n">
        <f aca="false">IF(Q175=0,0,T175/Q175)</f>
        <v>0.414802065404475</v>
      </c>
      <c r="V175" s="5" t="s">
        <v>126</v>
      </c>
      <c r="W175" s="5" t="s">
        <v>136</v>
      </c>
      <c r="X175" s="5" t="s">
        <v>176</v>
      </c>
    </row>
    <row r="176" customFormat="false" ht="15" hidden="false" customHeight="false" outlineLevel="0" collapsed="false">
      <c r="A176" s="2" t="n">
        <v>175</v>
      </c>
      <c r="B176" s="2" t="s">
        <v>300</v>
      </c>
      <c r="C176" s="12" t="n">
        <v>45977</v>
      </c>
      <c r="D176" s="2" t="s">
        <v>258</v>
      </c>
      <c r="E176" s="2" t="s">
        <v>45</v>
      </c>
      <c r="F176" s="2" t="s">
        <v>46</v>
      </c>
      <c r="G176" s="2" t="s">
        <v>38</v>
      </c>
      <c r="H176" s="2" t="s">
        <v>39</v>
      </c>
      <c r="I176" s="9" t="n">
        <v>1</v>
      </c>
      <c r="J176" s="3" t="n">
        <v>79.9</v>
      </c>
      <c r="K176" s="3" t="n">
        <v>79.9</v>
      </c>
      <c r="L176" s="4" t="n">
        <v>0.05</v>
      </c>
      <c r="M176" s="3" t="n">
        <v>4</v>
      </c>
      <c r="N176" s="3" t="n">
        <v>15.18</v>
      </c>
      <c r="O176" s="3" t="n">
        <f aca="false">K176-M176-N176</f>
        <v>60.72</v>
      </c>
      <c r="P176" s="4" t="n">
        <v>0.21</v>
      </c>
      <c r="Q176" s="3" t="n">
        <v>50.18</v>
      </c>
      <c r="R176" s="3" t="n">
        <f aca="false">O176-Q176</f>
        <v>10.54</v>
      </c>
      <c r="S176" s="3" t="n">
        <v>32</v>
      </c>
      <c r="T176" s="3" t="n">
        <f aca="false">Q176-S176</f>
        <v>18.18</v>
      </c>
      <c r="U176" s="4" t="n">
        <f aca="false">IF(Q176=0,0,T176/Q176)</f>
        <v>0.36229573535273</v>
      </c>
      <c r="V176" s="2" t="s">
        <v>126</v>
      </c>
      <c r="W176" s="2" t="s">
        <v>136</v>
      </c>
      <c r="X176" s="2" t="s">
        <v>176</v>
      </c>
    </row>
    <row r="177" customFormat="false" ht="15" hidden="false" customHeight="false" outlineLevel="0" collapsed="false">
      <c r="A177" s="5" t="n">
        <v>176</v>
      </c>
      <c r="B177" s="5" t="s">
        <v>300</v>
      </c>
      <c r="C177" s="13" t="n">
        <v>45977</v>
      </c>
      <c r="D177" s="5" t="s">
        <v>258</v>
      </c>
      <c r="E177" s="5" t="s">
        <v>16</v>
      </c>
      <c r="F177" s="5" t="s">
        <v>17</v>
      </c>
      <c r="G177" s="5" t="s">
        <v>13</v>
      </c>
      <c r="H177" s="5" t="s">
        <v>14</v>
      </c>
      <c r="I177" s="11" t="n">
        <v>1</v>
      </c>
      <c r="J177" s="6" t="n">
        <v>54.9</v>
      </c>
      <c r="K177" s="6" t="n">
        <v>54.9</v>
      </c>
      <c r="L177" s="7" t="n">
        <v>0</v>
      </c>
      <c r="M177" s="6" t="n">
        <v>0</v>
      </c>
      <c r="N177" s="6" t="n">
        <v>10.98</v>
      </c>
      <c r="O177" s="6" t="n">
        <f aca="false">K177-M177-N177</f>
        <v>43.92</v>
      </c>
      <c r="P177" s="7" t="n">
        <v>0.21</v>
      </c>
      <c r="Q177" s="6" t="n">
        <v>36.3</v>
      </c>
      <c r="R177" s="6" t="n">
        <f aca="false">O177-Q177</f>
        <v>7.62</v>
      </c>
      <c r="S177" s="6" t="n">
        <v>22</v>
      </c>
      <c r="T177" s="6" t="n">
        <f aca="false">Q177-S177</f>
        <v>14.3</v>
      </c>
      <c r="U177" s="7" t="n">
        <f aca="false">IF(Q177=0,0,T177/Q177)</f>
        <v>0.393939393939394</v>
      </c>
      <c r="V177" s="5" t="s">
        <v>126</v>
      </c>
      <c r="W177" s="5" t="s">
        <v>136</v>
      </c>
      <c r="X177" s="5" t="s">
        <v>176</v>
      </c>
    </row>
    <row r="178" customFormat="false" ht="15" hidden="false" customHeight="false" outlineLevel="0" collapsed="false">
      <c r="A178" s="2" t="n">
        <v>177</v>
      </c>
      <c r="B178" s="2" t="s">
        <v>301</v>
      </c>
      <c r="C178" s="12" t="n">
        <v>45978</v>
      </c>
      <c r="D178" s="2" t="s">
        <v>223</v>
      </c>
      <c r="E178" s="2" t="s">
        <v>81</v>
      </c>
      <c r="F178" s="2" t="s">
        <v>82</v>
      </c>
      <c r="G178" s="2" t="s">
        <v>79</v>
      </c>
      <c r="H178" s="2" t="s">
        <v>80</v>
      </c>
      <c r="I178" s="9" t="n">
        <v>1</v>
      </c>
      <c r="J178" s="3" t="n">
        <v>19.9</v>
      </c>
      <c r="K178" s="3" t="n">
        <v>19.9</v>
      </c>
      <c r="L178" s="4" t="n">
        <v>0.15</v>
      </c>
      <c r="M178" s="3" t="n">
        <v>2.98</v>
      </c>
      <c r="N178" s="3" t="n">
        <v>3.38</v>
      </c>
      <c r="O178" s="3" t="n">
        <f aca="false">K178-M178-N178</f>
        <v>13.54</v>
      </c>
      <c r="P178" s="4" t="n">
        <v>0.21</v>
      </c>
      <c r="Q178" s="3" t="n">
        <v>11.19</v>
      </c>
      <c r="R178" s="3" t="n">
        <f aca="false">O178-Q178</f>
        <v>2.35</v>
      </c>
      <c r="S178" s="3" t="n">
        <v>7</v>
      </c>
      <c r="T178" s="3" t="n">
        <f aca="false">Q178-S178</f>
        <v>4.19</v>
      </c>
      <c r="U178" s="4" t="n">
        <f aca="false">IF(Q178=0,0,T178/Q178)</f>
        <v>0.374441465594281</v>
      </c>
      <c r="V178" s="2" t="s">
        <v>126</v>
      </c>
      <c r="W178" s="2" t="s">
        <v>154</v>
      </c>
      <c r="X178" s="2" t="s">
        <v>132</v>
      </c>
    </row>
    <row r="179" customFormat="false" ht="15" hidden="false" customHeight="false" outlineLevel="0" collapsed="false">
      <c r="A179" s="5" t="n">
        <v>178</v>
      </c>
      <c r="B179" s="5" t="s">
        <v>302</v>
      </c>
      <c r="C179" s="13" t="n">
        <v>45979</v>
      </c>
      <c r="D179" s="5" t="s">
        <v>127</v>
      </c>
      <c r="E179" s="5" t="s">
        <v>89</v>
      </c>
      <c r="F179" s="5" t="s">
        <v>90</v>
      </c>
      <c r="G179" s="5" t="s">
        <v>91</v>
      </c>
      <c r="H179" s="5" t="s">
        <v>86</v>
      </c>
      <c r="I179" s="11" t="n">
        <v>1</v>
      </c>
      <c r="J179" s="6" t="n">
        <v>4.99</v>
      </c>
      <c r="K179" s="6" t="n">
        <v>4.99</v>
      </c>
      <c r="L179" s="7" t="n">
        <v>0</v>
      </c>
      <c r="M179" s="6" t="n">
        <v>0</v>
      </c>
      <c r="N179" s="6" t="n">
        <v>0.75</v>
      </c>
      <c r="O179" s="6" t="n">
        <f aca="false">K179-M179-N179</f>
        <v>4.24</v>
      </c>
      <c r="P179" s="7" t="n">
        <v>0.1</v>
      </c>
      <c r="Q179" s="6" t="n">
        <v>3.85</v>
      </c>
      <c r="R179" s="6" t="n">
        <f aca="false">O179-Q179</f>
        <v>0.39</v>
      </c>
      <c r="S179" s="6" t="n">
        <v>2.3</v>
      </c>
      <c r="T179" s="6" t="n">
        <f aca="false">Q179-S179</f>
        <v>1.55</v>
      </c>
      <c r="U179" s="7" t="n">
        <f aca="false">IF(Q179=0,0,T179/Q179)</f>
        <v>0.402597402597403</v>
      </c>
      <c r="V179" s="5" t="s">
        <v>138</v>
      </c>
      <c r="W179" s="5" t="s">
        <v>136</v>
      </c>
      <c r="X179" s="5" t="s">
        <v>231</v>
      </c>
    </row>
    <row r="180" customFormat="false" ht="15" hidden="false" customHeight="false" outlineLevel="0" collapsed="false">
      <c r="A180" s="2" t="n">
        <v>179</v>
      </c>
      <c r="B180" s="2" t="s">
        <v>303</v>
      </c>
      <c r="C180" s="12" t="n">
        <v>45979</v>
      </c>
      <c r="D180" s="2" t="s">
        <v>158</v>
      </c>
      <c r="E180" s="2" t="s">
        <v>40</v>
      </c>
      <c r="F180" s="2" t="s">
        <v>41</v>
      </c>
      <c r="G180" s="2" t="s">
        <v>38</v>
      </c>
      <c r="H180" s="2" t="s">
        <v>39</v>
      </c>
      <c r="I180" s="9" t="n">
        <v>1</v>
      </c>
      <c r="J180" s="3" t="n">
        <v>12.9</v>
      </c>
      <c r="K180" s="3" t="n">
        <v>12.9</v>
      </c>
      <c r="L180" s="4" t="n">
        <v>0.15</v>
      </c>
      <c r="M180" s="3" t="n">
        <v>1.94</v>
      </c>
      <c r="N180" s="3" t="n">
        <v>0</v>
      </c>
      <c r="O180" s="3" t="n">
        <f aca="false">K180-M180-N180</f>
        <v>10.96</v>
      </c>
      <c r="P180" s="4" t="n">
        <v>0.21</v>
      </c>
      <c r="Q180" s="3" t="n">
        <v>9.06</v>
      </c>
      <c r="R180" s="3" t="n">
        <f aca="false">O180-Q180</f>
        <v>1.9</v>
      </c>
      <c r="S180" s="3" t="n">
        <v>2.1</v>
      </c>
      <c r="T180" s="3" t="n">
        <f aca="false">Q180-S180</f>
        <v>6.96</v>
      </c>
      <c r="U180" s="4" t="n">
        <f aca="false">IF(Q180=0,0,T180/Q180)</f>
        <v>0.768211920529801</v>
      </c>
      <c r="V180" s="2" t="s">
        <v>138</v>
      </c>
      <c r="W180" s="2" t="s">
        <v>136</v>
      </c>
      <c r="X180" s="2" t="s">
        <v>176</v>
      </c>
    </row>
    <row r="181" customFormat="false" ht="15" hidden="false" customHeight="false" outlineLevel="0" collapsed="false">
      <c r="A181" s="5" t="n">
        <v>180</v>
      </c>
      <c r="B181" s="5" t="s">
        <v>303</v>
      </c>
      <c r="C181" s="13" t="n">
        <v>45979</v>
      </c>
      <c r="D181" s="5" t="s">
        <v>158</v>
      </c>
      <c r="E181" s="5" t="s">
        <v>16</v>
      </c>
      <c r="F181" s="5" t="s">
        <v>17</v>
      </c>
      <c r="G181" s="5" t="s">
        <v>13</v>
      </c>
      <c r="H181" s="5" t="s">
        <v>14</v>
      </c>
      <c r="I181" s="11" t="n">
        <v>1</v>
      </c>
      <c r="J181" s="6" t="n">
        <v>54.9</v>
      </c>
      <c r="K181" s="6" t="n">
        <v>54.9</v>
      </c>
      <c r="L181" s="7" t="n">
        <v>0</v>
      </c>
      <c r="M181" s="6" t="n">
        <v>0</v>
      </c>
      <c r="N181" s="6" t="n">
        <v>0</v>
      </c>
      <c r="O181" s="6" t="n">
        <f aca="false">K181-M181-N181</f>
        <v>54.9</v>
      </c>
      <c r="P181" s="7" t="n">
        <v>0.21</v>
      </c>
      <c r="Q181" s="6" t="n">
        <v>45.37</v>
      </c>
      <c r="R181" s="6" t="n">
        <f aca="false">O181-Q181</f>
        <v>9.53</v>
      </c>
      <c r="S181" s="6" t="n">
        <v>22</v>
      </c>
      <c r="T181" s="6" t="n">
        <f aca="false">Q181-S181</f>
        <v>23.37</v>
      </c>
      <c r="U181" s="7" t="n">
        <f aca="false">IF(Q181=0,0,T181/Q181)</f>
        <v>0.515098082433326</v>
      </c>
      <c r="V181" s="5" t="s">
        <v>138</v>
      </c>
      <c r="W181" s="5" t="s">
        <v>136</v>
      </c>
      <c r="X181" s="5" t="s">
        <v>176</v>
      </c>
    </row>
    <row r="182" customFormat="false" ht="15" hidden="false" customHeight="false" outlineLevel="0" collapsed="false">
      <c r="A182" s="2" t="n">
        <v>181</v>
      </c>
      <c r="B182" s="2" t="s">
        <v>304</v>
      </c>
      <c r="C182" s="12" t="n">
        <v>45979</v>
      </c>
      <c r="D182" s="2" t="s">
        <v>202</v>
      </c>
      <c r="E182" s="2" t="s">
        <v>89</v>
      </c>
      <c r="F182" s="2" t="s">
        <v>90</v>
      </c>
      <c r="G182" s="2" t="s">
        <v>91</v>
      </c>
      <c r="H182" s="2" t="s">
        <v>86</v>
      </c>
      <c r="I182" s="9" t="n">
        <v>1</v>
      </c>
      <c r="J182" s="3" t="n">
        <v>4.99</v>
      </c>
      <c r="K182" s="3" t="n">
        <v>4.99</v>
      </c>
      <c r="L182" s="4" t="n">
        <v>0</v>
      </c>
      <c r="M182" s="3" t="n">
        <v>0</v>
      </c>
      <c r="N182" s="3" t="n">
        <v>0</v>
      </c>
      <c r="O182" s="3" t="n">
        <f aca="false">K182-M182-N182</f>
        <v>4.99</v>
      </c>
      <c r="P182" s="4" t="n">
        <v>0.1</v>
      </c>
      <c r="Q182" s="3" t="n">
        <v>4.54</v>
      </c>
      <c r="R182" s="3" t="n">
        <f aca="false">O182-Q182</f>
        <v>0.45</v>
      </c>
      <c r="S182" s="3" t="n">
        <v>2.3</v>
      </c>
      <c r="T182" s="3" t="n">
        <f aca="false">Q182-S182</f>
        <v>2.24</v>
      </c>
      <c r="U182" s="4" t="n">
        <f aca="false">IF(Q182=0,0,T182/Q182)</f>
        <v>0.493392070484582</v>
      </c>
      <c r="V182" s="2" t="s">
        <v>126</v>
      </c>
      <c r="W182" s="2" t="s">
        <v>136</v>
      </c>
      <c r="X182" s="2" t="s">
        <v>132</v>
      </c>
    </row>
    <row r="183" customFormat="false" ht="15" hidden="false" customHeight="false" outlineLevel="0" collapsed="false">
      <c r="A183" s="5" t="n">
        <v>182</v>
      </c>
      <c r="B183" s="5" t="s">
        <v>305</v>
      </c>
      <c r="C183" s="13" t="n">
        <v>45980</v>
      </c>
      <c r="D183" s="5" t="s">
        <v>164</v>
      </c>
      <c r="E183" s="5" t="s">
        <v>61</v>
      </c>
      <c r="F183" s="5" t="s">
        <v>62</v>
      </c>
      <c r="G183" s="5" t="s">
        <v>59</v>
      </c>
      <c r="H183" s="5" t="s">
        <v>60</v>
      </c>
      <c r="I183" s="11" t="n">
        <v>1</v>
      </c>
      <c r="J183" s="6" t="n">
        <v>18.9</v>
      </c>
      <c r="K183" s="6" t="n">
        <v>18.9</v>
      </c>
      <c r="L183" s="7" t="n">
        <v>0</v>
      </c>
      <c r="M183" s="6" t="n">
        <v>0</v>
      </c>
      <c r="N183" s="6" t="n">
        <v>3.78</v>
      </c>
      <c r="O183" s="6" t="n">
        <f aca="false">K183-M183-N183</f>
        <v>15.12</v>
      </c>
      <c r="P183" s="7" t="n">
        <v>0.21</v>
      </c>
      <c r="Q183" s="6" t="n">
        <v>12.5</v>
      </c>
      <c r="R183" s="6" t="n">
        <f aca="false">O183-Q183</f>
        <v>2.62</v>
      </c>
      <c r="S183" s="6" t="n">
        <v>6.5</v>
      </c>
      <c r="T183" s="6" t="n">
        <f aca="false">Q183-S183</f>
        <v>6</v>
      </c>
      <c r="U183" s="7" t="n">
        <f aca="false">IF(Q183=0,0,T183/Q183)</f>
        <v>0.48</v>
      </c>
      <c r="V183" s="5" t="s">
        <v>172</v>
      </c>
      <c r="W183" s="5" t="s">
        <v>177</v>
      </c>
      <c r="X183" s="5" t="s">
        <v>132</v>
      </c>
    </row>
    <row r="184" customFormat="false" ht="15" hidden="false" customHeight="false" outlineLevel="0" collapsed="false">
      <c r="A184" s="2" t="n">
        <v>183</v>
      </c>
      <c r="B184" s="2" t="s">
        <v>306</v>
      </c>
      <c r="C184" s="12" t="n">
        <v>45980</v>
      </c>
      <c r="D184" s="2" t="s">
        <v>217</v>
      </c>
      <c r="E184" s="2" t="s">
        <v>89</v>
      </c>
      <c r="F184" s="2" t="s">
        <v>90</v>
      </c>
      <c r="G184" s="2" t="s">
        <v>91</v>
      </c>
      <c r="H184" s="2" t="s">
        <v>86</v>
      </c>
      <c r="I184" s="9" t="n">
        <v>2</v>
      </c>
      <c r="J184" s="3" t="n">
        <v>4.99</v>
      </c>
      <c r="K184" s="3" t="n">
        <v>9.98</v>
      </c>
      <c r="L184" s="4" t="n">
        <v>0</v>
      </c>
      <c r="M184" s="3" t="n">
        <v>0</v>
      </c>
      <c r="N184" s="3" t="n">
        <v>0</v>
      </c>
      <c r="O184" s="3" t="n">
        <f aca="false">K184-M184-N184</f>
        <v>9.98</v>
      </c>
      <c r="P184" s="4" t="n">
        <v>0.1</v>
      </c>
      <c r="Q184" s="3" t="n">
        <v>9.07</v>
      </c>
      <c r="R184" s="3" t="n">
        <f aca="false">O184-Q184</f>
        <v>0.91</v>
      </c>
      <c r="S184" s="3" t="n">
        <v>4.6</v>
      </c>
      <c r="T184" s="3" t="n">
        <f aca="false">Q184-S184</f>
        <v>4.47</v>
      </c>
      <c r="U184" s="4" t="n">
        <f aca="false">IF(Q184=0,0,T184/Q184)</f>
        <v>0.492833517089305</v>
      </c>
      <c r="V184" s="2" t="s">
        <v>126</v>
      </c>
      <c r="W184" s="2" t="s">
        <v>177</v>
      </c>
      <c r="X184" s="2" t="s">
        <v>132</v>
      </c>
    </row>
    <row r="185" customFormat="false" ht="15" hidden="false" customHeight="false" outlineLevel="0" collapsed="false">
      <c r="A185" s="5" t="n">
        <v>184</v>
      </c>
      <c r="B185" s="5" t="s">
        <v>307</v>
      </c>
      <c r="C185" s="13" t="n">
        <v>45982</v>
      </c>
      <c r="D185" s="5" t="s">
        <v>188</v>
      </c>
      <c r="E185" s="5" t="s">
        <v>49</v>
      </c>
      <c r="F185" s="5" t="s">
        <v>50</v>
      </c>
      <c r="G185" s="5" t="s">
        <v>51</v>
      </c>
      <c r="H185" s="5" t="s">
        <v>52</v>
      </c>
      <c r="I185" s="11" t="n">
        <v>2</v>
      </c>
      <c r="J185" s="6" t="n">
        <v>19.9</v>
      </c>
      <c r="K185" s="6" t="n">
        <v>39.8</v>
      </c>
      <c r="L185" s="7" t="n">
        <v>0</v>
      </c>
      <c r="M185" s="6" t="n">
        <v>0</v>
      </c>
      <c r="N185" s="6" t="n">
        <v>5.97</v>
      </c>
      <c r="O185" s="6" t="n">
        <f aca="false">K185-M185-N185</f>
        <v>33.83</v>
      </c>
      <c r="P185" s="7" t="n">
        <v>0.21</v>
      </c>
      <c r="Q185" s="6" t="n">
        <v>27.96</v>
      </c>
      <c r="R185" s="6" t="n">
        <f aca="false">O185-Q185</f>
        <v>5.87</v>
      </c>
      <c r="S185" s="6" t="n">
        <v>15.8</v>
      </c>
      <c r="T185" s="6" t="n">
        <f aca="false">Q185-S185</f>
        <v>12.16</v>
      </c>
      <c r="U185" s="7" t="n">
        <f aca="false">IF(Q185=0,0,T185/Q185)</f>
        <v>0.434907010014306</v>
      </c>
      <c r="V185" s="5" t="s">
        <v>126</v>
      </c>
      <c r="W185" s="5" t="s">
        <v>156</v>
      </c>
      <c r="X185" s="5" t="s">
        <v>132</v>
      </c>
    </row>
    <row r="186" customFormat="false" ht="15" hidden="false" customHeight="false" outlineLevel="0" collapsed="false">
      <c r="A186" s="2" t="n">
        <v>185</v>
      </c>
      <c r="B186" s="2" t="s">
        <v>307</v>
      </c>
      <c r="C186" s="12" t="n">
        <v>45982</v>
      </c>
      <c r="D186" s="2" t="s">
        <v>188</v>
      </c>
      <c r="E186" s="2" t="s">
        <v>87</v>
      </c>
      <c r="F186" s="2" t="s">
        <v>88</v>
      </c>
      <c r="G186" s="2" t="s">
        <v>85</v>
      </c>
      <c r="H186" s="2" t="s">
        <v>86</v>
      </c>
      <c r="I186" s="9" t="n">
        <v>12</v>
      </c>
      <c r="J186" s="3" t="n">
        <v>2.49</v>
      </c>
      <c r="K186" s="3" t="n">
        <v>29.88</v>
      </c>
      <c r="L186" s="4" t="n">
        <v>0</v>
      </c>
      <c r="M186" s="3" t="n">
        <v>0</v>
      </c>
      <c r="N186" s="3" t="n">
        <v>4.48</v>
      </c>
      <c r="O186" s="3" t="n">
        <f aca="false">K186-M186-N186</f>
        <v>25.4</v>
      </c>
      <c r="P186" s="4" t="n">
        <v>0.1</v>
      </c>
      <c r="Q186" s="3" t="n">
        <v>23.09</v>
      </c>
      <c r="R186" s="3" t="n">
        <f aca="false">O186-Q186</f>
        <v>2.31</v>
      </c>
      <c r="S186" s="3" t="n">
        <v>18</v>
      </c>
      <c r="T186" s="3" t="n">
        <f aca="false">Q186-S186</f>
        <v>5.09</v>
      </c>
      <c r="U186" s="4" t="n">
        <f aca="false">IF(Q186=0,0,T186/Q186)</f>
        <v>0.220441749675184</v>
      </c>
      <c r="V186" s="2" t="s">
        <v>126</v>
      </c>
      <c r="W186" s="2" t="s">
        <v>156</v>
      </c>
      <c r="X186" s="2" t="s">
        <v>132</v>
      </c>
    </row>
    <row r="187" customFormat="false" ht="15" hidden="false" customHeight="false" outlineLevel="0" collapsed="false">
      <c r="A187" s="5" t="n">
        <v>186</v>
      </c>
      <c r="B187" s="5" t="s">
        <v>308</v>
      </c>
      <c r="C187" s="13" t="n">
        <v>45983</v>
      </c>
      <c r="D187" s="5" t="s">
        <v>173</v>
      </c>
      <c r="E187" s="5" t="s">
        <v>63</v>
      </c>
      <c r="F187" s="5" t="s">
        <v>64</v>
      </c>
      <c r="G187" s="5" t="s">
        <v>65</v>
      </c>
      <c r="H187" s="5" t="s">
        <v>66</v>
      </c>
      <c r="I187" s="11" t="n">
        <v>1</v>
      </c>
      <c r="J187" s="6" t="n">
        <v>139</v>
      </c>
      <c r="K187" s="6" t="n">
        <v>139</v>
      </c>
      <c r="L187" s="7" t="n">
        <v>0</v>
      </c>
      <c r="M187" s="6" t="n">
        <v>0</v>
      </c>
      <c r="N187" s="6" t="n">
        <v>27.8</v>
      </c>
      <c r="O187" s="6" t="n">
        <f aca="false">K187-M187-N187</f>
        <v>111.2</v>
      </c>
      <c r="P187" s="7" t="n">
        <v>0.21</v>
      </c>
      <c r="Q187" s="6" t="n">
        <v>91.9</v>
      </c>
      <c r="R187" s="6" t="n">
        <f aca="false">O187-Q187</f>
        <v>19.3</v>
      </c>
      <c r="S187" s="6" t="n">
        <v>62</v>
      </c>
      <c r="T187" s="6" t="n">
        <f aca="false">Q187-S187</f>
        <v>29.9</v>
      </c>
      <c r="U187" s="7" t="n">
        <f aca="false">IF(Q187=0,0,T187/Q187)</f>
        <v>0.325353645266594</v>
      </c>
      <c r="V187" s="5" t="s">
        <v>126</v>
      </c>
      <c r="W187" s="5" t="s">
        <v>177</v>
      </c>
      <c r="X187" s="5" t="s">
        <v>132</v>
      </c>
    </row>
    <row r="188" customFormat="false" ht="15" hidden="false" customHeight="false" outlineLevel="0" collapsed="false">
      <c r="A188" s="2" t="n">
        <v>187</v>
      </c>
      <c r="B188" s="2" t="s">
        <v>309</v>
      </c>
      <c r="C188" s="12" t="n">
        <v>45983</v>
      </c>
      <c r="D188" s="2" t="s">
        <v>188</v>
      </c>
      <c r="E188" s="2" t="s">
        <v>45</v>
      </c>
      <c r="F188" s="2" t="s">
        <v>46</v>
      </c>
      <c r="G188" s="2" t="s">
        <v>38</v>
      </c>
      <c r="H188" s="2" t="s">
        <v>39</v>
      </c>
      <c r="I188" s="9" t="n">
        <v>1</v>
      </c>
      <c r="J188" s="3" t="n">
        <v>79.9</v>
      </c>
      <c r="K188" s="3" t="n">
        <v>79.9</v>
      </c>
      <c r="L188" s="4" t="n">
        <v>0.05</v>
      </c>
      <c r="M188" s="3" t="n">
        <v>4</v>
      </c>
      <c r="N188" s="3" t="n">
        <v>0</v>
      </c>
      <c r="O188" s="3" t="n">
        <f aca="false">K188-M188-N188</f>
        <v>75.9</v>
      </c>
      <c r="P188" s="4" t="n">
        <v>0.21</v>
      </c>
      <c r="Q188" s="3" t="n">
        <v>62.73</v>
      </c>
      <c r="R188" s="3" t="n">
        <f aca="false">O188-Q188</f>
        <v>13.17</v>
      </c>
      <c r="S188" s="3" t="n">
        <v>32</v>
      </c>
      <c r="T188" s="3" t="n">
        <f aca="false">Q188-S188</f>
        <v>30.73</v>
      </c>
      <c r="U188" s="4" t="n">
        <f aca="false">IF(Q188=0,0,T188/Q188)</f>
        <v>0.489877251713694</v>
      </c>
      <c r="V188" s="2" t="s">
        <v>148</v>
      </c>
      <c r="W188" s="2" t="s">
        <v>156</v>
      </c>
      <c r="X188" s="2" t="s">
        <v>132</v>
      </c>
    </row>
    <row r="189" customFormat="false" ht="15" hidden="false" customHeight="false" outlineLevel="0" collapsed="false">
      <c r="A189" s="5" t="n">
        <v>188</v>
      </c>
      <c r="B189" s="5" t="s">
        <v>310</v>
      </c>
      <c r="C189" s="13" t="n">
        <v>45986</v>
      </c>
      <c r="D189" s="5" t="s">
        <v>164</v>
      </c>
      <c r="E189" s="5" t="s">
        <v>87</v>
      </c>
      <c r="F189" s="5" t="s">
        <v>88</v>
      </c>
      <c r="G189" s="5" t="s">
        <v>85</v>
      </c>
      <c r="H189" s="5" t="s">
        <v>86</v>
      </c>
      <c r="I189" s="11" t="n">
        <v>1</v>
      </c>
      <c r="J189" s="6" t="n">
        <v>2.49</v>
      </c>
      <c r="K189" s="6" t="n">
        <v>2.49</v>
      </c>
      <c r="L189" s="7" t="n">
        <v>0.15</v>
      </c>
      <c r="M189" s="6" t="n">
        <v>0.37</v>
      </c>
      <c r="N189" s="6" t="n">
        <v>0.32</v>
      </c>
      <c r="O189" s="6" t="n">
        <f aca="false">K189-M189-N189</f>
        <v>1.8</v>
      </c>
      <c r="P189" s="7" t="n">
        <v>0.1</v>
      </c>
      <c r="Q189" s="6" t="n">
        <v>1.64</v>
      </c>
      <c r="R189" s="6" t="n">
        <f aca="false">O189-Q189</f>
        <v>0.16</v>
      </c>
      <c r="S189" s="6" t="n">
        <v>1.5</v>
      </c>
      <c r="T189" s="6" t="n">
        <f aca="false">Q189-S189</f>
        <v>0.14</v>
      </c>
      <c r="U189" s="7" t="n">
        <f aca="false">IF(Q189=0,0,T189/Q189)</f>
        <v>0.0853658536585365</v>
      </c>
      <c r="V189" s="5" t="s">
        <v>172</v>
      </c>
      <c r="W189" s="5" t="s">
        <v>177</v>
      </c>
      <c r="X189" s="5" t="s">
        <v>132</v>
      </c>
    </row>
    <row r="190" customFormat="false" ht="15" hidden="false" customHeight="false" outlineLevel="0" collapsed="false">
      <c r="A190" s="2" t="n">
        <v>189</v>
      </c>
      <c r="B190" s="2" t="s">
        <v>310</v>
      </c>
      <c r="C190" s="12" t="n">
        <v>45986</v>
      </c>
      <c r="D190" s="2" t="s">
        <v>164</v>
      </c>
      <c r="E190" s="2" t="s">
        <v>31</v>
      </c>
      <c r="F190" s="2" t="s">
        <v>32</v>
      </c>
      <c r="G190" s="2" t="s">
        <v>33</v>
      </c>
      <c r="H190" s="2" t="s">
        <v>23</v>
      </c>
      <c r="I190" s="9" t="n">
        <v>1</v>
      </c>
      <c r="J190" s="3" t="n">
        <v>89.9</v>
      </c>
      <c r="K190" s="3" t="n">
        <v>89.9</v>
      </c>
      <c r="L190" s="4" t="n">
        <v>0</v>
      </c>
      <c r="M190" s="3" t="n">
        <v>0</v>
      </c>
      <c r="N190" s="3" t="n">
        <v>13.48</v>
      </c>
      <c r="O190" s="3" t="n">
        <f aca="false">K190-M190-N190</f>
        <v>76.42</v>
      </c>
      <c r="P190" s="4" t="n">
        <v>0.21</v>
      </c>
      <c r="Q190" s="3" t="n">
        <v>63.16</v>
      </c>
      <c r="R190" s="3" t="n">
        <f aca="false">O190-Q190</f>
        <v>13.26</v>
      </c>
      <c r="S190" s="3" t="n">
        <v>48</v>
      </c>
      <c r="T190" s="3" t="n">
        <f aca="false">Q190-S190</f>
        <v>15.16</v>
      </c>
      <c r="U190" s="4" t="n">
        <f aca="false">IF(Q190=0,0,T190/Q190)</f>
        <v>0.240025332488917</v>
      </c>
      <c r="V190" s="2" t="s">
        <v>172</v>
      </c>
      <c r="W190" s="2" t="s">
        <v>177</v>
      </c>
      <c r="X190" s="2" t="s">
        <v>132</v>
      </c>
    </row>
    <row r="191" customFormat="false" ht="15" hidden="false" customHeight="false" outlineLevel="0" collapsed="false">
      <c r="A191" s="5" t="n">
        <v>190</v>
      </c>
      <c r="B191" s="5" t="s">
        <v>311</v>
      </c>
      <c r="C191" s="13" t="n">
        <v>45987</v>
      </c>
      <c r="D191" s="5" t="s">
        <v>127</v>
      </c>
      <c r="E191" s="5" t="s">
        <v>87</v>
      </c>
      <c r="F191" s="5" t="s">
        <v>88</v>
      </c>
      <c r="G191" s="5" t="s">
        <v>85</v>
      </c>
      <c r="H191" s="5" t="s">
        <v>86</v>
      </c>
      <c r="I191" s="11" t="n">
        <v>2</v>
      </c>
      <c r="J191" s="6" t="n">
        <v>2.49</v>
      </c>
      <c r="K191" s="6" t="n">
        <v>4.98</v>
      </c>
      <c r="L191" s="7" t="n">
        <v>0</v>
      </c>
      <c r="M191" s="6" t="n">
        <v>0</v>
      </c>
      <c r="N191" s="6" t="n">
        <v>0</v>
      </c>
      <c r="O191" s="6" t="n">
        <f aca="false">K191-M191-N191</f>
        <v>4.98</v>
      </c>
      <c r="P191" s="7" t="n">
        <v>0.1</v>
      </c>
      <c r="Q191" s="6" t="n">
        <v>4.53</v>
      </c>
      <c r="R191" s="6" t="n">
        <f aca="false">O191-Q191</f>
        <v>0.45</v>
      </c>
      <c r="S191" s="6" t="n">
        <v>3</v>
      </c>
      <c r="T191" s="6" t="n">
        <f aca="false">Q191-S191</f>
        <v>1.53</v>
      </c>
      <c r="U191" s="7" t="n">
        <f aca="false">IF(Q191=0,0,T191/Q191)</f>
        <v>0.337748344370861</v>
      </c>
      <c r="V191" s="5" t="s">
        <v>126</v>
      </c>
      <c r="W191" s="5" t="s">
        <v>136</v>
      </c>
      <c r="X191" s="5" t="s">
        <v>132</v>
      </c>
    </row>
    <row r="192" customFormat="false" ht="15" hidden="false" customHeight="false" outlineLevel="0" collapsed="false">
      <c r="A192" s="2" t="n">
        <v>191</v>
      </c>
      <c r="B192" s="2" t="s">
        <v>311</v>
      </c>
      <c r="C192" s="12" t="n">
        <v>45987</v>
      </c>
      <c r="D192" s="2" t="s">
        <v>127</v>
      </c>
      <c r="E192" s="2" t="s">
        <v>81</v>
      </c>
      <c r="F192" s="2" t="s">
        <v>82</v>
      </c>
      <c r="G192" s="2" t="s">
        <v>79</v>
      </c>
      <c r="H192" s="2" t="s">
        <v>80</v>
      </c>
      <c r="I192" s="9" t="n">
        <v>2</v>
      </c>
      <c r="J192" s="3" t="n">
        <v>19.9</v>
      </c>
      <c r="K192" s="3" t="n">
        <v>39.8</v>
      </c>
      <c r="L192" s="4" t="n">
        <v>0</v>
      </c>
      <c r="M192" s="3" t="n">
        <v>0</v>
      </c>
      <c r="N192" s="3" t="n">
        <v>0</v>
      </c>
      <c r="O192" s="3" t="n">
        <f aca="false">K192-M192-N192</f>
        <v>39.8</v>
      </c>
      <c r="P192" s="4" t="n">
        <v>0.21</v>
      </c>
      <c r="Q192" s="3" t="n">
        <v>32.89</v>
      </c>
      <c r="R192" s="3" t="n">
        <f aca="false">O192-Q192</f>
        <v>6.91</v>
      </c>
      <c r="S192" s="3" t="n">
        <v>14</v>
      </c>
      <c r="T192" s="3" t="n">
        <f aca="false">Q192-S192</f>
        <v>18.89</v>
      </c>
      <c r="U192" s="4" t="n">
        <f aca="false">IF(Q192=0,0,T192/Q192)</f>
        <v>0.574338704773487</v>
      </c>
      <c r="V192" s="2" t="s">
        <v>126</v>
      </c>
      <c r="W192" s="2" t="s">
        <v>136</v>
      </c>
      <c r="X192" s="2" t="s">
        <v>132</v>
      </c>
    </row>
    <row r="193" customFormat="false" ht="15" hidden="false" customHeight="false" outlineLevel="0" collapsed="false">
      <c r="A193" s="5" t="n">
        <v>192</v>
      </c>
      <c r="B193" s="5" t="s">
        <v>312</v>
      </c>
      <c r="C193" s="13" t="n">
        <v>45988</v>
      </c>
      <c r="D193" s="5" t="s">
        <v>149</v>
      </c>
      <c r="E193" s="5" t="s">
        <v>47</v>
      </c>
      <c r="F193" s="5" t="s">
        <v>48</v>
      </c>
      <c r="G193" s="5" t="s">
        <v>44</v>
      </c>
      <c r="H193" s="5" t="s">
        <v>39</v>
      </c>
      <c r="I193" s="11" t="n">
        <v>2</v>
      </c>
      <c r="J193" s="6" t="n">
        <v>34.9</v>
      </c>
      <c r="K193" s="6" t="n">
        <v>69.8</v>
      </c>
      <c r="L193" s="7" t="n">
        <v>0</v>
      </c>
      <c r="M193" s="6" t="n">
        <v>0</v>
      </c>
      <c r="N193" s="6" t="n">
        <v>0</v>
      </c>
      <c r="O193" s="6" t="n">
        <f aca="false">K193-M193-N193</f>
        <v>69.8</v>
      </c>
      <c r="P193" s="7" t="n">
        <v>0.21</v>
      </c>
      <c r="Q193" s="6" t="n">
        <v>57.69</v>
      </c>
      <c r="R193" s="6" t="n">
        <f aca="false">O193-Q193</f>
        <v>12.11</v>
      </c>
      <c r="S193" s="6" t="n">
        <v>28</v>
      </c>
      <c r="T193" s="6" t="n">
        <f aca="false">Q193-S193</f>
        <v>29.69</v>
      </c>
      <c r="U193" s="7" t="n">
        <f aca="false">IF(Q193=0,0,T193/Q193)</f>
        <v>0.514647252556769</v>
      </c>
      <c r="V193" s="5" t="s">
        <v>148</v>
      </c>
      <c r="W193" s="5" t="s">
        <v>154</v>
      </c>
      <c r="X193" s="5" t="s">
        <v>132</v>
      </c>
    </row>
    <row r="194" customFormat="false" ht="15" hidden="false" customHeight="false" outlineLevel="0" collapsed="false">
      <c r="A194" s="2" t="n">
        <v>193</v>
      </c>
      <c r="B194" s="2" t="s">
        <v>312</v>
      </c>
      <c r="C194" s="12" t="n">
        <v>45988</v>
      </c>
      <c r="D194" s="2" t="s">
        <v>149</v>
      </c>
      <c r="E194" s="2" t="s">
        <v>96</v>
      </c>
      <c r="F194" s="2" t="s">
        <v>97</v>
      </c>
      <c r="G194" s="2" t="s">
        <v>94</v>
      </c>
      <c r="H194" s="2" t="s">
        <v>95</v>
      </c>
      <c r="I194" s="9" t="n">
        <v>1</v>
      </c>
      <c r="J194" s="3" t="n">
        <v>7.99</v>
      </c>
      <c r="K194" s="3" t="n">
        <v>7.99</v>
      </c>
      <c r="L194" s="4" t="n">
        <v>0.05</v>
      </c>
      <c r="M194" s="3" t="n">
        <v>0.4</v>
      </c>
      <c r="N194" s="3" t="n">
        <v>0</v>
      </c>
      <c r="O194" s="3" t="n">
        <f aca="false">K194-M194-N194</f>
        <v>7.59</v>
      </c>
      <c r="P194" s="4" t="n">
        <v>0.1</v>
      </c>
      <c r="Q194" s="3" t="n">
        <v>6.9</v>
      </c>
      <c r="R194" s="3" t="n">
        <f aca="false">O194-Q194</f>
        <v>0.69</v>
      </c>
      <c r="S194" s="3" t="n">
        <v>3.4</v>
      </c>
      <c r="T194" s="3" t="n">
        <f aca="false">Q194-S194</f>
        <v>3.5</v>
      </c>
      <c r="U194" s="4" t="n">
        <f aca="false">IF(Q194=0,0,T194/Q194)</f>
        <v>0.507246376811594</v>
      </c>
      <c r="V194" s="2" t="s">
        <v>148</v>
      </c>
      <c r="W194" s="2" t="s">
        <v>154</v>
      </c>
      <c r="X194" s="2" t="s">
        <v>132</v>
      </c>
    </row>
    <row r="195" customFormat="false" ht="15" hidden="false" customHeight="false" outlineLevel="0" collapsed="false">
      <c r="A195" s="5" t="n">
        <v>194</v>
      </c>
      <c r="B195" s="5" t="s">
        <v>312</v>
      </c>
      <c r="C195" s="13" t="n">
        <v>45988</v>
      </c>
      <c r="D195" s="5" t="s">
        <v>149</v>
      </c>
      <c r="E195" s="5" t="s">
        <v>92</v>
      </c>
      <c r="F195" s="5" t="s">
        <v>93</v>
      </c>
      <c r="G195" s="5" t="s">
        <v>94</v>
      </c>
      <c r="H195" s="5" t="s">
        <v>95</v>
      </c>
      <c r="I195" s="11" t="n">
        <v>8</v>
      </c>
      <c r="J195" s="6" t="n">
        <v>4.49</v>
      </c>
      <c r="K195" s="6" t="n">
        <v>35.92</v>
      </c>
      <c r="L195" s="7" t="n">
        <v>0.15</v>
      </c>
      <c r="M195" s="6" t="n">
        <v>5.39</v>
      </c>
      <c r="N195" s="6" t="n">
        <v>0</v>
      </c>
      <c r="O195" s="6" t="n">
        <f aca="false">K195-M195-N195</f>
        <v>30.53</v>
      </c>
      <c r="P195" s="7" t="n">
        <v>0.1</v>
      </c>
      <c r="Q195" s="6" t="n">
        <v>27.75</v>
      </c>
      <c r="R195" s="6" t="n">
        <f aca="false">O195-Q195</f>
        <v>2.78</v>
      </c>
      <c r="S195" s="6" t="n">
        <v>16.8</v>
      </c>
      <c r="T195" s="6" t="n">
        <f aca="false">Q195-S195</f>
        <v>10.95</v>
      </c>
      <c r="U195" s="7" t="n">
        <f aca="false">IF(Q195=0,0,T195/Q195)</f>
        <v>0.394594594594595</v>
      </c>
      <c r="V195" s="5" t="s">
        <v>148</v>
      </c>
      <c r="W195" s="5" t="s">
        <v>154</v>
      </c>
      <c r="X195" s="5" t="s">
        <v>132</v>
      </c>
    </row>
    <row r="196" customFormat="false" ht="15" hidden="false" customHeight="false" outlineLevel="0" collapsed="false">
      <c r="A196" s="2" t="n">
        <v>195</v>
      </c>
      <c r="B196" s="2" t="s">
        <v>312</v>
      </c>
      <c r="C196" s="12" t="n">
        <v>45988</v>
      </c>
      <c r="D196" s="2" t="s">
        <v>149</v>
      </c>
      <c r="E196" s="2" t="s">
        <v>61</v>
      </c>
      <c r="F196" s="2" t="s">
        <v>62</v>
      </c>
      <c r="G196" s="2" t="s">
        <v>59</v>
      </c>
      <c r="H196" s="2" t="s">
        <v>60</v>
      </c>
      <c r="I196" s="9" t="n">
        <v>1</v>
      </c>
      <c r="J196" s="3" t="n">
        <v>18.9</v>
      </c>
      <c r="K196" s="3" t="n">
        <v>18.9</v>
      </c>
      <c r="L196" s="4" t="n">
        <v>0.05</v>
      </c>
      <c r="M196" s="3" t="n">
        <v>0.94</v>
      </c>
      <c r="N196" s="3" t="n">
        <v>0</v>
      </c>
      <c r="O196" s="3" t="n">
        <f aca="false">K196-M196-N196</f>
        <v>17.96</v>
      </c>
      <c r="P196" s="4" t="n">
        <v>0.21</v>
      </c>
      <c r="Q196" s="3" t="n">
        <v>14.84</v>
      </c>
      <c r="R196" s="3" t="n">
        <f aca="false">O196-Q196</f>
        <v>3.12</v>
      </c>
      <c r="S196" s="3" t="n">
        <v>6.5</v>
      </c>
      <c r="T196" s="3" t="n">
        <f aca="false">Q196-S196</f>
        <v>8.34</v>
      </c>
      <c r="U196" s="4" t="n">
        <f aca="false">IF(Q196=0,0,T196/Q196)</f>
        <v>0.561994609164421</v>
      </c>
      <c r="V196" s="2" t="s">
        <v>148</v>
      </c>
      <c r="W196" s="2" t="s">
        <v>154</v>
      </c>
      <c r="X196" s="2" t="s">
        <v>132</v>
      </c>
    </row>
    <row r="197" customFormat="false" ht="15" hidden="false" customHeight="false" outlineLevel="0" collapsed="false">
      <c r="A197" s="5" t="n">
        <v>196</v>
      </c>
      <c r="B197" s="5" t="s">
        <v>313</v>
      </c>
      <c r="C197" s="13" t="n">
        <v>45990</v>
      </c>
      <c r="D197" s="5" t="s">
        <v>258</v>
      </c>
      <c r="E197" s="5" t="s">
        <v>98</v>
      </c>
      <c r="F197" s="5" t="s">
        <v>99</v>
      </c>
      <c r="G197" s="5" t="s">
        <v>94</v>
      </c>
      <c r="H197" s="5" t="s">
        <v>95</v>
      </c>
      <c r="I197" s="11" t="n">
        <v>1</v>
      </c>
      <c r="J197" s="6" t="n">
        <v>2.99</v>
      </c>
      <c r="K197" s="6" t="n">
        <v>2.99</v>
      </c>
      <c r="L197" s="7" t="n">
        <v>0</v>
      </c>
      <c r="M197" s="6" t="n">
        <v>0</v>
      </c>
      <c r="N197" s="6" t="n">
        <v>0</v>
      </c>
      <c r="O197" s="6" t="n">
        <f aca="false">K197-M197-N197</f>
        <v>2.99</v>
      </c>
      <c r="P197" s="7" t="n">
        <v>0.1</v>
      </c>
      <c r="Q197" s="6" t="n">
        <v>2.72</v>
      </c>
      <c r="R197" s="6" t="n">
        <f aca="false">O197-Q197</f>
        <v>0.27</v>
      </c>
      <c r="S197" s="6" t="n">
        <v>1.2</v>
      </c>
      <c r="T197" s="6" t="n">
        <f aca="false">Q197-S197</f>
        <v>1.52</v>
      </c>
      <c r="U197" s="7" t="n">
        <f aca="false">IF(Q197=0,0,T197/Q197)</f>
        <v>0.558823529411765</v>
      </c>
      <c r="V197" s="5" t="s">
        <v>193</v>
      </c>
      <c r="W197" s="5" t="s">
        <v>136</v>
      </c>
      <c r="X197" s="5" t="s">
        <v>132</v>
      </c>
    </row>
    <row r="198" customFormat="false" ht="15" hidden="false" customHeight="false" outlineLevel="0" collapsed="false">
      <c r="A198" s="2" t="n">
        <v>197</v>
      </c>
      <c r="B198" s="2" t="s">
        <v>313</v>
      </c>
      <c r="C198" s="12" t="n">
        <v>45990</v>
      </c>
      <c r="D198" s="2" t="s">
        <v>258</v>
      </c>
      <c r="E198" s="2" t="s">
        <v>55</v>
      </c>
      <c r="F198" s="2" t="s">
        <v>56</v>
      </c>
      <c r="G198" s="2" t="s">
        <v>51</v>
      </c>
      <c r="H198" s="2" t="s">
        <v>52</v>
      </c>
      <c r="I198" s="9" t="n">
        <v>1</v>
      </c>
      <c r="J198" s="3" t="n">
        <v>119</v>
      </c>
      <c r="K198" s="3" t="n">
        <v>119</v>
      </c>
      <c r="L198" s="4" t="n">
        <v>0.1</v>
      </c>
      <c r="M198" s="3" t="n">
        <v>11.9</v>
      </c>
      <c r="N198" s="3" t="n">
        <v>0</v>
      </c>
      <c r="O198" s="3" t="n">
        <f aca="false">K198-M198-N198</f>
        <v>107.1</v>
      </c>
      <c r="P198" s="4" t="n">
        <v>0.21</v>
      </c>
      <c r="Q198" s="3" t="n">
        <v>88.51</v>
      </c>
      <c r="R198" s="3" t="n">
        <f aca="false">O198-Q198</f>
        <v>18.59</v>
      </c>
      <c r="S198" s="3" t="n">
        <v>55</v>
      </c>
      <c r="T198" s="3" t="n">
        <f aca="false">Q198-S198</f>
        <v>33.51</v>
      </c>
      <c r="U198" s="4" t="n">
        <f aca="false">IF(Q198=0,0,T198/Q198)</f>
        <v>0.378601287990058</v>
      </c>
      <c r="V198" s="2" t="s">
        <v>193</v>
      </c>
      <c r="W198" s="2" t="s">
        <v>136</v>
      </c>
      <c r="X198" s="2" t="s">
        <v>132</v>
      </c>
    </row>
    <row r="199" customFormat="false" ht="15" hidden="false" customHeight="false" outlineLevel="0" collapsed="false">
      <c r="A199" s="5" t="n">
        <v>198</v>
      </c>
      <c r="B199" s="5" t="s">
        <v>313</v>
      </c>
      <c r="C199" s="13" t="n">
        <v>45990</v>
      </c>
      <c r="D199" s="5" t="s">
        <v>258</v>
      </c>
      <c r="E199" s="5" t="s">
        <v>63</v>
      </c>
      <c r="F199" s="5" t="s">
        <v>64</v>
      </c>
      <c r="G199" s="5" t="s">
        <v>65</v>
      </c>
      <c r="H199" s="5" t="s">
        <v>66</v>
      </c>
      <c r="I199" s="11" t="n">
        <v>1</v>
      </c>
      <c r="J199" s="6" t="n">
        <v>139</v>
      </c>
      <c r="K199" s="6" t="n">
        <v>139</v>
      </c>
      <c r="L199" s="7" t="n">
        <v>0</v>
      </c>
      <c r="M199" s="6" t="n">
        <v>0</v>
      </c>
      <c r="N199" s="6" t="n">
        <v>0</v>
      </c>
      <c r="O199" s="6" t="n">
        <f aca="false">K199-M199-N199</f>
        <v>139</v>
      </c>
      <c r="P199" s="7" t="n">
        <v>0.21</v>
      </c>
      <c r="Q199" s="6" t="n">
        <v>114.88</v>
      </c>
      <c r="R199" s="6" t="n">
        <f aca="false">O199-Q199</f>
        <v>24.12</v>
      </c>
      <c r="S199" s="6" t="n">
        <v>62</v>
      </c>
      <c r="T199" s="6" t="n">
        <f aca="false">Q199-S199</f>
        <v>52.88</v>
      </c>
      <c r="U199" s="7" t="n">
        <f aca="false">IF(Q199=0,0,T199/Q199)</f>
        <v>0.460306406685237</v>
      </c>
      <c r="V199" s="5" t="s">
        <v>193</v>
      </c>
      <c r="W199" s="5" t="s">
        <v>136</v>
      </c>
      <c r="X199" s="5" t="s">
        <v>132</v>
      </c>
    </row>
    <row r="200" customFormat="false" ht="15" hidden="false" customHeight="false" outlineLevel="0" collapsed="false">
      <c r="A200" s="2" t="n">
        <v>199</v>
      </c>
      <c r="B200" s="2" t="s">
        <v>314</v>
      </c>
      <c r="C200" s="12" t="n">
        <v>45991</v>
      </c>
      <c r="D200" s="2" t="s">
        <v>223</v>
      </c>
      <c r="E200" s="2" t="s">
        <v>53</v>
      </c>
      <c r="F200" s="2" t="s">
        <v>54</v>
      </c>
      <c r="G200" s="2" t="s">
        <v>51</v>
      </c>
      <c r="H200" s="2" t="s">
        <v>52</v>
      </c>
      <c r="I200" s="9" t="n">
        <v>1</v>
      </c>
      <c r="J200" s="3" t="n">
        <v>59.9</v>
      </c>
      <c r="K200" s="3" t="n">
        <v>59.9</v>
      </c>
      <c r="L200" s="4" t="n">
        <v>0</v>
      </c>
      <c r="M200" s="3" t="n">
        <v>0</v>
      </c>
      <c r="N200" s="3" t="n">
        <v>0</v>
      </c>
      <c r="O200" s="3" t="n">
        <f aca="false">K200-M200-N200</f>
        <v>59.9</v>
      </c>
      <c r="P200" s="4" t="n">
        <v>0.21</v>
      </c>
      <c r="Q200" s="3" t="n">
        <v>49.5</v>
      </c>
      <c r="R200" s="3" t="n">
        <f aca="false">O200-Q200</f>
        <v>10.4</v>
      </c>
      <c r="S200" s="3" t="n">
        <v>26</v>
      </c>
      <c r="T200" s="3" t="n">
        <f aca="false">Q200-S200</f>
        <v>23.5</v>
      </c>
      <c r="U200" s="4" t="n">
        <f aca="false">IF(Q200=0,0,T200/Q200)</f>
        <v>0.474747474747475</v>
      </c>
      <c r="V200" s="2" t="s">
        <v>126</v>
      </c>
      <c r="W200" s="2" t="s">
        <v>156</v>
      </c>
      <c r="X200" s="2" t="s">
        <v>132</v>
      </c>
    </row>
    <row r="201" customFormat="false" ht="15" hidden="false" customHeight="false" outlineLevel="0" collapsed="false">
      <c r="A201" s="5" t="n">
        <v>200</v>
      </c>
      <c r="B201" s="5" t="s">
        <v>314</v>
      </c>
      <c r="C201" s="13" t="n">
        <v>45991</v>
      </c>
      <c r="D201" s="5" t="s">
        <v>223</v>
      </c>
      <c r="E201" s="5" t="s">
        <v>96</v>
      </c>
      <c r="F201" s="5" t="s">
        <v>97</v>
      </c>
      <c r="G201" s="5" t="s">
        <v>94</v>
      </c>
      <c r="H201" s="5" t="s">
        <v>95</v>
      </c>
      <c r="I201" s="11" t="n">
        <v>2</v>
      </c>
      <c r="J201" s="6" t="n">
        <v>7.99</v>
      </c>
      <c r="K201" s="6" t="n">
        <v>15.98</v>
      </c>
      <c r="L201" s="7" t="n">
        <v>0.15</v>
      </c>
      <c r="M201" s="6" t="n">
        <v>2.4</v>
      </c>
      <c r="N201" s="6" t="n">
        <v>0</v>
      </c>
      <c r="O201" s="6" t="n">
        <f aca="false">K201-M201-N201</f>
        <v>13.58</v>
      </c>
      <c r="P201" s="7" t="n">
        <v>0.1</v>
      </c>
      <c r="Q201" s="6" t="n">
        <v>12.35</v>
      </c>
      <c r="R201" s="6" t="n">
        <f aca="false">O201-Q201</f>
        <v>1.23</v>
      </c>
      <c r="S201" s="6" t="n">
        <v>6.8</v>
      </c>
      <c r="T201" s="6" t="n">
        <f aca="false">Q201-S201</f>
        <v>5.55</v>
      </c>
      <c r="U201" s="7" t="n">
        <f aca="false">IF(Q201=0,0,T201/Q201)</f>
        <v>0.449392712550607</v>
      </c>
      <c r="V201" s="5" t="s">
        <v>126</v>
      </c>
      <c r="W201" s="5" t="s">
        <v>156</v>
      </c>
      <c r="X201" s="5" t="s">
        <v>132</v>
      </c>
    </row>
    <row r="202" customFormat="false" ht="15" hidden="false" customHeight="false" outlineLevel="0" collapsed="false">
      <c r="A202" s="2" t="n">
        <v>201</v>
      </c>
      <c r="B202" s="2" t="s">
        <v>314</v>
      </c>
      <c r="C202" s="12" t="n">
        <v>45991</v>
      </c>
      <c r="D202" s="2" t="s">
        <v>223</v>
      </c>
      <c r="E202" s="2" t="s">
        <v>69</v>
      </c>
      <c r="F202" s="2" t="s">
        <v>70</v>
      </c>
      <c r="G202" s="2" t="s">
        <v>71</v>
      </c>
      <c r="H202" s="2" t="s">
        <v>72</v>
      </c>
      <c r="I202" s="9" t="n">
        <v>1</v>
      </c>
      <c r="J202" s="3" t="n">
        <v>22.9</v>
      </c>
      <c r="K202" s="3" t="n">
        <v>22.9</v>
      </c>
      <c r="L202" s="4" t="n">
        <v>0</v>
      </c>
      <c r="M202" s="3" t="n">
        <v>0</v>
      </c>
      <c r="N202" s="3" t="n">
        <v>0</v>
      </c>
      <c r="O202" s="3" t="n">
        <f aca="false">K202-M202-N202</f>
        <v>22.9</v>
      </c>
      <c r="P202" s="4" t="n">
        <v>0.21</v>
      </c>
      <c r="Q202" s="3" t="n">
        <v>18.93</v>
      </c>
      <c r="R202" s="3" t="n">
        <f aca="false">O202-Q202</f>
        <v>3.97</v>
      </c>
      <c r="S202" s="3" t="n">
        <v>8</v>
      </c>
      <c r="T202" s="3" t="n">
        <f aca="false">Q202-S202</f>
        <v>10.93</v>
      </c>
      <c r="U202" s="4" t="n">
        <f aca="false">IF(Q202=0,0,T202/Q202)</f>
        <v>0.577390385631273</v>
      </c>
      <c r="V202" s="2" t="s">
        <v>126</v>
      </c>
      <c r="W202" s="2" t="s">
        <v>156</v>
      </c>
      <c r="X202" s="2" t="s">
        <v>132</v>
      </c>
    </row>
    <row r="203" customFormat="false" ht="15" hidden="false" customHeight="false" outlineLevel="0" collapsed="false">
      <c r="A203" s="5" t="n">
        <v>202</v>
      </c>
      <c r="B203" s="5" t="s">
        <v>315</v>
      </c>
      <c r="C203" s="13" t="n">
        <v>45992</v>
      </c>
      <c r="D203" s="5" t="s">
        <v>202</v>
      </c>
      <c r="E203" s="5" t="s">
        <v>98</v>
      </c>
      <c r="F203" s="5" t="s">
        <v>99</v>
      </c>
      <c r="G203" s="5" t="s">
        <v>94</v>
      </c>
      <c r="H203" s="5" t="s">
        <v>95</v>
      </c>
      <c r="I203" s="11" t="n">
        <v>8</v>
      </c>
      <c r="J203" s="6" t="n">
        <v>2.99</v>
      </c>
      <c r="K203" s="6" t="n">
        <v>23.92</v>
      </c>
      <c r="L203" s="7" t="n">
        <v>0</v>
      </c>
      <c r="M203" s="6" t="n">
        <v>0</v>
      </c>
      <c r="N203" s="6" t="n">
        <v>0</v>
      </c>
      <c r="O203" s="6" t="n">
        <f aca="false">K203-M203-N203</f>
        <v>23.92</v>
      </c>
      <c r="P203" s="7" t="n">
        <v>0.1</v>
      </c>
      <c r="Q203" s="6" t="n">
        <v>21.75</v>
      </c>
      <c r="R203" s="6" t="n">
        <f aca="false">O203-Q203</f>
        <v>2.17</v>
      </c>
      <c r="S203" s="6" t="n">
        <v>9.6</v>
      </c>
      <c r="T203" s="6" t="n">
        <f aca="false">Q203-S203</f>
        <v>12.15</v>
      </c>
      <c r="U203" s="7" t="n">
        <f aca="false">IF(Q203=0,0,T203/Q203)</f>
        <v>0.558620689655172</v>
      </c>
      <c r="V203" s="5" t="s">
        <v>172</v>
      </c>
      <c r="W203" s="5" t="s">
        <v>136</v>
      </c>
      <c r="X203" s="5" t="s">
        <v>176</v>
      </c>
    </row>
    <row r="204" customFormat="false" ht="15" hidden="false" customHeight="false" outlineLevel="0" collapsed="false">
      <c r="A204" s="2" t="n">
        <v>203</v>
      </c>
      <c r="B204" s="2" t="s">
        <v>315</v>
      </c>
      <c r="C204" s="12" t="n">
        <v>45992</v>
      </c>
      <c r="D204" s="2" t="s">
        <v>202</v>
      </c>
      <c r="E204" s="2" t="s">
        <v>69</v>
      </c>
      <c r="F204" s="2" t="s">
        <v>70</v>
      </c>
      <c r="G204" s="2" t="s">
        <v>71</v>
      </c>
      <c r="H204" s="2" t="s">
        <v>72</v>
      </c>
      <c r="I204" s="9" t="n">
        <v>1</v>
      </c>
      <c r="J204" s="3" t="n">
        <v>22.9</v>
      </c>
      <c r="K204" s="3" t="n">
        <v>22.9</v>
      </c>
      <c r="L204" s="4" t="n">
        <v>0</v>
      </c>
      <c r="M204" s="3" t="n">
        <v>0</v>
      </c>
      <c r="N204" s="3" t="n">
        <v>0</v>
      </c>
      <c r="O204" s="3" t="n">
        <f aca="false">K204-M204-N204</f>
        <v>22.9</v>
      </c>
      <c r="P204" s="4" t="n">
        <v>0.21</v>
      </c>
      <c r="Q204" s="3" t="n">
        <v>18.93</v>
      </c>
      <c r="R204" s="3" t="n">
        <f aca="false">O204-Q204</f>
        <v>3.97</v>
      </c>
      <c r="S204" s="3" t="n">
        <v>8</v>
      </c>
      <c r="T204" s="3" t="n">
        <f aca="false">Q204-S204</f>
        <v>10.93</v>
      </c>
      <c r="U204" s="4" t="n">
        <f aca="false">IF(Q204=0,0,T204/Q204)</f>
        <v>0.577390385631273</v>
      </c>
      <c r="V204" s="2" t="s">
        <v>172</v>
      </c>
      <c r="W204" s="2" t="s">
        <v>136</v>
      </c>
      <c r="X204" s="2" t="s">
        <v>176</v>
      </c>
    </row>
    <row r="205" customFormat="false" ht="15" hidden="false" customHeight="false" outlineLevel="0" collapsed="false">
      <c r="A205" s="5" t="n">
        <v>204</v>
      </c>
      <c r="B205" s="5" t="s">
        <v>316</v>
      </c>
      <c r="C205" s="13" t="n">
        <v>45993</v>
      </c>
      <c r="D205" s="5" t="s">
        <v>188</v>
      </c>
      <c r="E205" s="5" t="s">
        <v>89</v>
      </c>
      <c r="F205" s="5" t="s">
        <v>90</v>
      </c>
      <c r="G205" s="5" t="s">
        <v>91</v>
      </c>
      <c r="H205" s="5" t="s">
        <v>86</v>
      </c>
      <c r="I205" s="11" t="n">
        <v>2</v>
      </c>
      <c r="J205" s="6" t="n">
        <v>4.99</v>
      </c>
      <c r="K205" s="6" t="n">
        <v>9.98</v>
      </c>
      <c r="L205" s="7" t="n">
        <v>0</v>
      </c>
      <c r="M205" s="6" t="n">
        <v>0</v>
      </c>
      <c r="N205" s="6" t="n">
        <v>2</v>
      </c>
      <c r="O205" s="6" t="n">
        <f aca="false">K205-M205-N205</f>
        <v>7.98</v>
      </c>
      <c r="P205" s="7" t="n">
        <v>0.1</v>
      </c>
      <c r="Q205" s="6" t="n">
        <v>7.25</v>
      </c>
      <c r="R205" s="6" t="n">
        <f aca="false">O205-Q205</f>
        <v>0.73</v>
      </c>
      <c r="S205" s="6" t="n">
        <v>4.6</v>
      </c>
      <c r="T205" s="6" t="n">
        <f aca="false">Q205-S205</f>
        <v>2.65</v>
      </c>
      <c r="U205" s="7" t="n">
        <f aca="false">IF(Q205=0,0,T205/Q205)</f>
        <v>0.36551724137931</v>
      </c>
      <c r="V205" s="5" t="s">
        <v>126</v>
      </c>
      <c r="W205" s="5" t="s">
        <v>136</v>
      </c>
      <c r="X205" s="5" t="s">
        <v>132</v>
      </c>
    </row>
    <row r="206" customFormat="false" ht="15" hidden="false" customHeight="false" outlineLevel="0" collapsed="false">
      <c r="A206" s="2" t="n">
        <v>205</v>
      </c>
      <c r="B206" s="2" t="s">
        <v>316</v>
      </c>
      <c r="C206" s="12" t="n">
        <v>45993</v>
      </c>
      <c r="D206" s="2" t="s">
        <v>188</v>
      </c>
      <c r="E206" s="2" t="s">
        <v>87</v>
      </c>
      <c r="F206" s="2" t="s">
        <v>88</v>
      </c>
      <c r="G206" s="2" t="s">
        <v>85</v>
      </c>
      <c r="H206" s="2" t="s">
        <v>86</v>
      </c>
      <c r="I206" s="9" t="n">
        <v>5</v>
      </c>
      <c r="J206" s="3" t="n">
        <v>2.49</v>
      </c>
      <c r="K206" s="3" t="n">
        <v>12.45</v>
      </c>
      <c r="L206" s="4" t="n">
        <v>0</v>
      </c>
      <c r="M206" s="3" t="n">
        <v>0</v>
      </c>
      <c r="N206" s="3" t="n">
        <v>2.49</v>
      </c>
      <c r="O206" s="3" t="n">
        <f aca="false">K206-M206-N206</f>
        <v>9.96</v>
      </c>
      <c r="P206" s="4" t="n">
        <v>0.1</v>
      </c>
      <c r="Q206" s="3" t="n">
        <v>9.05</v>
      </c>
      <c r="R206" s="3" t="n">
        <f aca="false">O206-Q206</f>
        <v>0.909999999999998</v>
      </c>
      <c r="S206" s="3" t="n">
        <v>7.5</v>
      </c>
      <c r="T206" s="3" t="n">
        <f aca="false">Q206-S206</f>
        <v>1.55</v>
      </c>
      <c r="U206" s="4" t="n">
        <f aca="false">IF(Q206=0,0,T206/Q206)</f>
        <v>0.171270718232044</v>
      </c>
      <c r="V206" s="2" t="s">
        <v>126</v>
      </c>
      <c r="W206" s="2" t="s">
        <v>136</v>
      </c>
      <c r="X206" s="2" t="s">
        <v>132</v>
      </c>
    </row>
    <row r="207" customFormat="false" ht="15" hidden="false" customHeight="false" outlineLevel="0" collapsed="false">
      <c r="A207" s="5" t="n">
        <v>206</v>
      </c>
      <c r="B207" s="5" t="s">
        <v>316</v>
      </c>
      <c r="C207" s="13" t="n">
        <v>45993</v>
      </c>
      <c r="D207" s="5" t="s">
        <v>188</v>
      </c>
      <c r="E207" s="5" t="s">
        <v>18</v>
      </c>
      <c r="F207" s="5" t="s">
        <v>19</v>
      </c>
      <c r="G207" s="5" t="s">
        <v>13</v>
      </c>
      <c r="H207" s="5" t="s">
        <v>14</v>
      </c>
      <c r="I207" s="11" t="n">
        <v>4</v>
      </c>
      <c r="J207" s="6" t="n">
        <v>199</v>
      </c>
      <c r="K207" s="6" t="n">
        <v>796</v>
      </c>
      <c r="L207" s="7" t="n">
        <v>0</v>
      </c>
      <c r="M207" s="6" t="n">
        <v>0</v>
      </c>
      <c r="N207" s="6" t="n">
        <v>159.2</v>
      </c>
      <c r="O207" s="6" t="n">
        <f aca="false">K207-M207-N207</f>
        <v>636.8</v>
      </c>
      <c r="P207" s="7" t="n">
        <v>0.21</v>
      </c>
      <c r="Q207" s="6" t="n">
        <v>526.28</v>
      </c>
      <c r="R207" s="6" t="n">
        <f aca="false">O207-Q207</f>
        <v>110.52</v>
      </c>
      <c r="S207" s="6" t="n">
        <v>380</v>
      </c>
      <c r="T207" s="6" t="n">
        <f aca="false">Q207-S207</f>
        <v>146.28</v>
      </c>
      <c r="U207" s="7" t="n">
        <f aca="false">IF(Q207=0,0,T207/Q207)</f>
        <v>0.277950900661245</v>
      </c>
      <c r="V207" s="5" t="s">
        <v>126</v>
      </c>
      <c r="W207" s="5" t="s">
        <v>136</v>
      </c>
      <c r="X207" s="5" t="s">
        <v>132</v>
      </c>
    </row>
    <row r="208" customFormat="false" ht="15" hidden="false" customHeight="false" outlineLevel="0" collapsed="false">
      <c r="A208" s="2" t="n">
        <v>207</v>
      </c>
      <c r="B208" s="2" t="s">
        <v>316</v>
      </c>
      <c r="C208" s="12" t="n">
        <v>45993</v>
      </c>
      <c r="D208" s="2" t="s">
        <v>188</v>
      </c>
      <c r="E208" s="2" t="s">
        <v>57</v>
      </c>
      <c r="F208" s="2" t="s">
        <v>58</v>
      </c>
      <c r="G208" s="2" t="s">
        <v>59</v>
      </c>
      <c r="H208" s="2" t="s">
        <v>60</v>
      </c>
      <c r="I208" s="9" t="n">
        <v>2</v>
      </c>
      <c r="J208" s="3" t="n">
        <v>39.9</v>
      </c>
      <c r="K208" s="3" t="n">
        <v>79.8</v>
      </c>
      <c r="L208" s="4" t="n">
        <v>0</v>
      </c>
      <c r="M208" s="3" t="n">
        <v>0</v>
      </c>
      <c r="N208" s="3" t="n">
        <v>15.96</v>
      </c>
      <c r="O208" s="3" t="n">
        <f aca="false">K208-M208-N208</f>
        <v>63.84</v>
      </c>
      <c r="P208" s="4" t="n">
        <v>0.21</v>
      </c>
      <c r="Q208" s="3" t="n">
        <v>52.76</v>
      </c>
      <c r="R208" s="3" t="n">
        <f aca="false">O208-Q208</f>
        <v>11.08</v>
      </c>
      <c r="S208" s="3" t="n">
        <v>32</v>
      </c>
      <c r="T208" s="3" t="n">
        <f aca="false">Q208-S208</f>
        <v>20.76</v>
      </c>
      <c r="U208" s="4" t="n">
        <f aca="false">IF(Q208=0,0,T208/Q208)</f>
        <v>0.393479909021986</v>
      </c>
      <c r="V208" s="2" t="s">
        <v>126</v>
      </c>
      <c r="W208" s="2" t="s">
        <v>136</v>
      </c>
      <c r="X208" s="2" t="s">
        <v>132</v>
      </c>
    </row>
    <row r="209" customFormat="false" ht="15" hidden="false" customHeight="false" outlineLevel="0" collapsed="false">
      <c r="A209" s="5" t="n">
        <v>208</v>
      </c>
      <c r="B209" s="5" t="s">
        <v>317</v>
      </c>
      <c r="C209" s="13" t="n">
        <v>45993</v>
      </c>
      <c r="D209" s="5" t="s">
        <v>223</v>
      </c>
      <c r="E209" s="5" t="s">
        <v>61</v>
      </c>
      <c r="F209" s="5" t="s">
        <v>62</v>
      </c>
      <c r="G209" s="5" t="s">
        <v>59</v>
      </c>
      <c r="H209" s="5" t="s">
        <v>60</v>
      </c>
      <c r="I209" s="11" t="n">
        <v>1</v>
      </c>
      <c r="J209" s="6" t="n">
        <v>18.9</v>
      </c>
      <c r="K209" s="6" t="n">
        <v>18.9</v>
      </c>
      <c r="L209" s="7" t="n">
        <v>0</v>
      </c>
      <c r="M209" s="6" t="n">
        <v>0</v>
      </c>
      <c r="N209" s="6" t="n">
        <v>2.83</v>
      </c>
      <c r="O209" s="6" t="n">
        <f aca="false">K209-M209-N209</f>
        <v>16.07</v>
      </c>
      <c r="P209" s="7" t="n">
        <v>0.21</v>
      </c>
      <c r="Q209" s="6" t="n">
        <v>13.28</v>
      </c>
      <c r="R209" s="6" t="n">
        <f aca="false">O209-Q209</f>
        <v>2.79</v>
      </c>
      <c r="S209" s="6" t="n">
        <v>6.5</v>
      </c>
      <c r="T209" s="6" t="n">
        <f aca="false">Q209-S209</f>
        <v>6.78</v>
      </c>
      <c r="U209" s="7" t="n">
        <f aca="false">IF(Q209=0,0,T209/Q209)</f>
        <v>0.510542168674699</v>
      </c>
      <c r="V209" s="5" t="s">
        <v>148</v>
      </c>
      <c r="W209" s="5" t="s">
        <v>177</v>
      </c>
      <c r="X209" s="5" t="s">
        <v>132</v>
      </c>
    </row>
    <row r="210" customFormat="false" ht="15" hidden="false" customHeight="false" outlineLevel="0" collapsed="false">
      <c r="A210" s="2" t="n">
        <v>209</v>
      </c>
      <c r="B210" s="2" t="s">
        <v>317</v>
      </c>
      <c r="C210" s="12" t="n">
        <v>45993</v>
      </c>
      <c r="D210" s="2" t="s">
        <v>223</v>
      </c>
      <c r="E210" s="2" t="s">
        <v>96</v>
      </c>
      <c r="F210" s="2" t="s">
        <v>97</v>
      </c>
      <c r="G210" s="2" t="s">
        <v>94</v>
      </c>
      <c r="H210" s="2" t="s">
        <v>95</v>
      </c>
      <c r="I210" s="9" t="n">
        <v>3</v>
      </c>
      <c r="J210" s="3" t="n">
        <v>7.99</v>
      </c>
      <c r="K210" s="3" t="n">
        <v>23.97</v>
      </c>
      <c r="L210" s="4" t="n">
        <v>0.05</v>
      </c>
      <c r="M210" s="3" t="n">
        <v>1.2</v>
      </c>
      <c r="N210" s="3" t="n">
        <v>3.42</v>
      </c>
      <c r="O210" s="3" t="n">
        <f aca="false">K210-M210-N210</f>
        <v>19.35</v>
      </c>
      <c r="P210" s="4" t="n">
        <v>0.1</v>
      </c>
      <c r="Q210" s="3" t="n">
        <v>17.59</v>
      </c>
      <c r="R210" s="3" t="n">
        <f aca="false">O210-Q210</f>
        <v>1.76</v>
      </c>
      <c r="S210" s="3" t="n">
        <v>10.2</v>
      </c>
      <c r="T210" s="3" t="n">
        <f aca="false">Q210-S210</f>
        <v>7.39</v>
      </c>
      <c r="U210" s="4" t="n">
        <f aca="false">IF(Q210=0,0,T210/Q210)</f>
        <v>0.420125071063104</v>
      </c>
      <c r="V210" s="2" t="s">
        <v>148</v>
      </c>
      <c r="W210" s="2" t="s">
        <v>177</v>
      </c>
      <c r="X210" s="2" t="s">
        <v>132</v>
      </c>
    </row>
    <row r="211" customFormat="false" ht="15" hidden="false" customHeight="false" outlineLevel="0" collapsed="false">
      <c r="A211" s="5" t="n">
        <v>210</v>
      </c>
      <c r="B211" s="5" t="s">
        <v>317</v>
      </c>
      <c r="C211" s="13" t="n">
        <v>45993</v>
      </c>
      <c r="D211" s="5" t="s">
        <v>223</v>
      </c>
      <c r="E211" s="5" t="s">
        <v>89</v>
      </c>
      <c r="F211" s="5" t="s">
        <v>90</v>
      </c>
      <c r="G211" s="5" t="s">
        <v>91</v>
      </c>
      <c r="H211" s="5" t="s">
        <v>86</v>
      </c>
      <c r="I211" s="11" t="n">
        <v>12</v>
      </c>
      <c r="J211" s="6" t="n">
        <v>4.99</v>
      </c>
      <c r="K211" s="6" t="n">
        <v>59.88</v>
      </c>
      <c r="L211" s="7" t="n">
        <v>0</v>
      </c>
      <c r="M211" s="6" t="n">
        <v>0</v>
      </c>
      <c r="N211" s="6" t="n">
        <v>8.98</v>
      </c>
      <c r="O211" s="6" t="n">
        <f aca="false">K211-M211-N211</f>
        <v>50.9</v>
      </c>
      <c r="P211" s="7" t="n">
        <v>0.1</v>
      </c>
      <c r="Q211" s="6" t="n">
        <v>46.27</v>
      </c>
      <c r="R211" s="6" t="n">
        <f aca="false">O211-Q211</f>
        <v>4.63</v>
      </c>
      <c r="S211" s="6" t="n">
        <v>27.6</v>
      </c>
      <c r="T211" s="6" t="n">
        <f aca="false">Q211-S211</f>
        <v>18.67</v>
      </c>
      <c r="U211" s="7" t="n">
        <f aca="false">IF(Q211=0,0,T211/Q211)</f>
        <v>0.403501188675168</v>
      </c>
      <c r="V211" s="5" t="s">
        <v>148</v>
      </c>
      <c r="W211" s="5" t="s">
        <v>177</v>
      </c>
      <c r="X211" s="5" t="s">
        <v>132</v>
      </c>
    </row>
    <row r="212" customFormat="false" ht="15" hidden="false" customHeight="false" outlineLevel="0" collapsed="false">
      <c r="A212" s="2" t="n">
        <v>211</v>
      </c>
      <c r="B212" s="2" t="s">
        <v>318</v>
      </c>
      <c r="C212" s="12" t="n">
        <v>45993</v>
      </c>
      <c r="D212" s="2" t="s">
        <v>158</v>
      </c>
      <c r="E212" s="2" t="s">
        <v>34</v>
      </c>
      <c r="F212" s="2" t="s">
        <v>35</v>
      </c>
      <c r="G212" s="2" t="s">
        <v>30</v>
      </c>
      <c r="H212" s="2" t="s">
        <v>23</v>
      </c>
      <c r="I212" s="9" t="n">
        <v>1</v>
      </c>
      <c r="J212" s="3" t="n">
        <v>44.9</v>
      </c>
      <c r="K212" s="3" t="n">
        <v>44.9</v>
      </c>
      <c r="L212" s="4" t="n">
        <v>0.15</v>
      </c>
      <c r="M212" s="3" t="n">
        <v>6.74</v>
      </c>
      <c r="N212" s="3" t="n">
        <v>0</v>
      </c>
      <c r="O212" s="3" t="n">
        <f aca="false">K212-M212-N212</f>
        <v>38.16</v>
      </c>
      <c r="P212" s="4" t="n">
        <v>0.21</v>
      </c>
      <c r="Q212" s="3" t="n">
        <v>31.54</v>
      </c>
      <c r="R212" s="3" t="n">
        <f aca="false">O212-Q212</f>
        <v>6.62</v>
      </c>
      <c r="S212" s="3" t="n">
        <v>19</v>
      </c>
      <c r="T212" s="3" t="n">
        <f aca="false">Q212-S212</f>
        <v>12.54</v>
      </c>
      <c r="U212" s="4" t="n">
        <f aca="false">IF(Q212=0,0,T212/Q212)</f>
        <v>0.397590361445783</v>
      </c>
      <c r="V212" s="2" t="s">
        <v>126</v>
      </c>
      <c r="W212" s="2" t="s">
        <v>177</v>
      </c>
      <c r="X212" s="2" t="s">
        <v>132</v>
      </c>
    </row>
    <row r="213" customFormat="false" ht="15" hidden="false" customHeight="false" outlineLevel="0" collapsed="false">
      <c r="A213" s="5" t="n">
        <v>212</v>
      </c>
      <c r="B213" s="5" t="s">
        <v>319</v>
      </c>
      <c r="C213" s="13" t="n">
        <v>45995</v>
      </c>
      <c r="D213" s="5" t="s">
        <v>258</v>
      </c>
      <c r="E213" s="5" t="s">
        <v>53</v>
      </c>
      <c r="F213" s="5" t="s">
        <v>54</v>
      </c>
      <c r="G213" s="5" t="s">
        <v>51</v>
      </c>
      <c r="H213" s="5" t="s">
        <v>52</v>
      </c>
      <c r="I213" s="11" t="n">
        <v>1</v>
      </c>
      <c r="J213" s="6" t="n">
        <v>59.9</v>
      </c>
      <c r="K213" s="6" t="n">
        <v>59.9</v>
      </c>
      <c r="L213" s="7" t="n">
        <v>0.1</v>
      </c>
      <c r="M213" s="6" t="n">
        <v>5.99</v>
      </c>
      <c r="N213" s="6" t="n">
        <v>10.78</v>
      </c>
      <c r="O213" s="6" t="n">
        <f aca="false">K213-M213-N213</f>
        <v>43.13</v>
      </c>
      <c r="P213" s="7" t="n">
        <v>0.21</v>
      </c>
      <c r="Q213" s="6" t="n">
        <v>35.64</v>
      </c>
      <c r="R213" s="6" t="n">
        <f aca="false">O213-Q213</f>
        <v>7.49</v>
      </c>
      <c r="S213" s="6" t="n">
        <v>26</v>
      </c>
      <c r="T213" s="6" t="n">
        <f aca="false">Q213-S213</f>
        <v>9.64</v>
      </c>
      <c r="U213" s="7" t="n">
        <f aca="false">IF(Q213=0,0,T213/Q213)</f>
        <v>0.270482603815937</v>
      </c>
      <c r="V213" s="5" t="s">
        <v>138</v>
      </c>
      <c r="W213" s="5" t="s">
        <v>156</v>
      </c>
      <c r="X213" s="5" t="s">
        <v>176</v>
      </c>
    </row>
    <row r="214" customFormat="false" ht="15" hidden="false" customHeight="false" outlineLevel="0" collapsed="false">
      <c r="A214" s="2" t="n">
        <v>213</v>
      </c>
      <c r="B214" s="2" t="s">
        <v>320</v>
      </c>
      <c r="C214" s="12" t="n">
        <v>45996</v>
      </c>
      <c r="D214" s="2" t="s">
        <v>179</v>
      </c>
      <c r="E214" s="2" t="s">
        <v>24</v>
      </c>
      <c r="F214" s="2" t="s">
        <v>25</v>
      </c>
      <c r="G214" s="2" t="s">
        <v>22</v>
      </c>
      <c r="H214" s="2" t="s">
        <v>23</v>
      </c>
      <c r="I214" s="9" t="n">
        <v>1</v>
      </c>
      <c r="J214" s="3" t="n">
        <v>24.9</v>
      </c>
      <c r="K214" s="3" t="n">
        <v>24.9</v>
      </c>
      <c r="L214" s="4" t="n">
        <v>0.1</v>
      </c>
      <c r="M214" s="3" t="n">
        <v>2.49</v>
      </c>
      <c r="N214" s="3" t="n">
        <v>4.48</v>
      </c>
      <c r="O214" s="3" t="n">
        <f aca="false">K214-M214-N214</f>
        <v>17.93</v>
      </c>
      <c r="P214" s="4" t="n">
        <v>0.21</v>
      </c>
      <c r="Q214" s="3" t="n">
        <v>14.82</v>
      </c>
      <c r="R214" s="3" t="n">
        <f aca="false">O214-Q214</f>
        <v>3.11</v>
      </c>
      <c r="S214" s="3" t="n">
        <v>9.8</v>
      </c>
      <c r="T214" s="3" t="n">
        <f aca="false">Q214-S214</f>
        <v>5.02</v>
      </c>
      <c r="U214" s="4" t="n">
        <f aca="false">IF(Q214=0,0,T214/Q214)</f>
        <v>0.338731443994602</v>
      </c>
      <c r="V214" s="2" t="s">
        <v>172</v>
      </c>
      <c r="W214" s="2" t="s">
        <v>177</v>
      </c>
      <c r="X214" s="2" t="s">
        <v>132</v>
      </c>
    </row>
    <row r="215" customFormat="false" ht="15" hidden="false" customHeight="false" outlineLevel="0" collapsed="false">
      <c r="A215" s="5" t="n">
        <v>214</v>
      </c>
      <c r="B215" s="5" t="s">
        <v>320</v>
      </c>
      <c r="C215" s="13" t="n">
        <v>45996</v>
      </c>
      <c r="D215" s="5" t="s">
        <v>179</v>
      </c>
      <c r="E215" s="5" t="s">
        <v>81</v>
      </c>
      <c r="F215" s="5" t="s">
        <v>82</v>
      </c>
      <c r="G215" s="5" t="s">
        <v>79</v>
      </c>
      <c r="H215" s="5" t="s">
        <v>80</v>
      </c>
      <c r="I215" s="11" t="n">
        <v>1</v>
      </c>
      <c r="J215" s="6" t="n">
        <v>19.9</v>
      </c>
      <c r="K215" s="6" t="n">
        <v>19.9</v>
      </c>
      <c r="L215" s="7" t="n">
        <v>0</v>
      </c>
      <c r="M215" s="6" t="n">
        <v>0</v>
      </c>
      <c r="N215" s="6" t="n">
        <v>3.98</v>
      </c>
      <c r="O215" s="6" t="n">
        <f aca="false">K215-M215-N215</f>
        <v>15.92</v>
      </c>
      <c r="P215" s="7" t="n">
        <v>0.21</v>
      </c>
      <c r="Q215" s="6" t="n">
        <v>13.16</v>
      </c>
      <c r="R215" s="6" t="n">
        <f aca="false">O215-Q215</f>
        <v>2.76</v>
      </c>
      <c r="S215" s="6" t="n">
        <v>7</v>
      </c>
      <c r="T215" s="6" t="n">
        <f aca="false">Q215-S215</f>
        <v>6.16</v>
      </c>
      <c r="U215" s="7" t="n">
        <f aca="false">IF(Q215=0,0,T215/Q215)</f>
        <v>0.468085106382979</v>
      </c>
      <c r="V215" s="5" t="s">
        <v>172</v>
      </c>
      <c r="W215" s="5" t="s">
        <v>177</v>
      </c>
      <c r="X215" s="5" t="s">
        <v>132</v>
      </c>
    </row>
    <row r="216" customFormat="false" ht="15" hidden="false" customHeight="false" outlineLevel="0" collapsed="false">
      <c r="A216" s="2" t="n">
        <v>215</v>
      </c>
      <c r="B216" s="2" t="s">
        <v>320</v>
      </c>
      <c r="C216" s="12" t="n">
        <v>45996</v>
      </c>
      <c r="D216" s="2" t="s">
        <v>179</v>
      </c>
      <c r="E216" s="2" t="s">
        <v>28</v>
      </c>
      <c r="F216" s="2" t="s">
        <v>29</v>
      </c>
      <c r="G216" s="2" t="s">
        <v>30</v>
      </c>
      <c r="H216" s="2" t="s">
        <v>23</v>
      </c>
      <c r="I216" s="9" t="n">
        <v>1</v>
      </c>
      <c r="J216" s="3" t="n">
        <v>289</v>
      </c>
      <c r="K216" s="3" t="n">
        <v>289</v>
      </c>
      <c r="L216" s="4" t="n">
        <v>0</v>
      </c>
      <c r="M216" s="3" t="n">
        <v>0</v>
      </c>
      <c r="N216" s="3" t="n">
        <v>57.8</v>
      </c>
      <c r="O216" s="3" t="n">
        <f aca="false">K216-M216-N216</f>
        <v>231.2</v>
      </c>
      <c r="P216" s="4" t="n">
        <v>0.21</v>
      </c>
      <c r="Q216" s="3" t="n">
        <v>191.07</v>
      </c>
      <c r="R216" s="3" t="n">
        <f aca="false">O216-Q216</f>
        <v>40.13</v>
      </c>
      <c r="S216" s="3" t="n">
        <v>140</v>
      </c>
      <c r="T216" s="3" t="n">
        <f aca="false">Q216-S216</f>
        <v>51.07</v>
      </c>
      <c r="U216" s="4" t="n">
        <f aca="false">IF(Q216=0,0,T216/Q216)</f>
        <v>0.267284241377506</v>
      </c>
      <c r="V216" s="2" t="s">
        <v>172</v>
      </c>
      <c r="W216" s="2" t="s">
        <v>177</v>
      </c>
      <c r="X216" s="2" t="s">
        <v>132</v>
      </c>
    </row>
    <row r="217" customFormat="false" ht="15" hidden="false" customHeight="false" outlineLevel="0" collapsed="false">
      <c r="A217" s="5" t="n">
        <v>216</v>
      </c>
      <c r="B217" s="5" t="s">
        <v>321</v>
      </c>
      <c r="C217" s="13" t="n">
        <v>45996</v>
      </c>
      <c r="D217" s="5" t="s">
        <v>139</v>
      </c>
      <c r="E217" s="5" t="s">
        <v>69</v>
      </c>
      <c r="F217" s="5" t="s">
        <v>70</v>
      </c>
      <c r="G217" s="5" t="s">
        <v>71</v>
      </c>
      <c r="H217" s="5" t="s">
        <v>72</v>
      </c>
      <c r="I217" s="11" t="n">
        <v>1</v>
      </c>
      <c r="J217" s="6" t="n">
        <v>22.9</v>
      </c>
      <c r="K217" s="6" t="n">
        <v>22.9</v>
      </c>
      <c r="L217" s="7" t="n">
        <v>0.05</v>
      </c>
      <c r="M217" s="6" t="n">
        <v>1.14</v>
      </c>
      <c r="N217" s="6" t="n">
        <v>4.35</v>
      </c>
      <c r="O217" s="6" t="n">
        <f aca="false">K217-M217-N217</f>
        <v>17.41</v>
      </c>
      <c r="P217" s="7" t="n">
        <v>0.21</v>
      </c>
      <c r="Q217" s="6" t="n">
        <v>14.39</v>
      </c>
      <c r="R217" s="6" t="n">
        <f aca="false">O217-Q217</f>
        <v>3.02</v>
      </c>
      <c r="S217" s="6" t="n">
        <v>8</v>
      </c>
      <c r="T217" s="6" t="n">
        <f aca="false">Q217-S217</f>
        <v>6.39</v>
      </c>
      <c r="U217" s="7" t="n">
        <f aca="false">IF(Q217=0,0,T217/Q217)</f>
        <v>0.444058373870744</v>
      </c>
      <c r="V217" s="5" t="s">
        <v>138</v>
      </c>
      <c r="W217" s="5" t="s">
        <v>154</v>
      </c>
      <c r="X217" s="5" t="s">
        <v>132</v>
      </c>
    </row>
    <row r="218" customFormat="false" ht="15" hidden="false" customHeight="false" outlineLevel="0" collapsed="false">
      <c r="A218" s="2" t="n">
        <v>217</v>
      </c>
      <c r="B218" s="2" t="s">
        <v>321</v>
      </c>
      <c r="C218" s="12" t="n">
        <v>45996</v>
      </c>
      <c r="D218" s="2" t="s">
        <v>139</v>
      </c>
      <c r="E218" s="2" t="s">
        <v>49</v>
      </c>
      <c r="F218" s="2" t="s">
        <v>50</v>
      </c>
      <c r="G218" s="2" t="s">
        <v>51</v>
      </c>
      <c r="H218" s="2" t="s">
        <v>52</v>
      </c>
      <c r="I218" s="9" t="n">
        <v>1</v>
      </c>
      <c r="J218" s="3" t="n">
        <v>19.9</v>
      </c>
      <c r="K218" s="3" t="n">
        <v>19.9</v>
      </c>
      <c r="L218" s="4" t="n">
        <v>0.05</v>
      </c>
      <c r="M218" s="3" t="n">
        <v>1</v>
      </c>
      <c r="N218" s="3" t="n">
        <v>3.78</v>
      </c>
      <c r="O218" s="3" t="n">
        <f aca="false">K218-M218-N218</f>
        <v>15.12</v>
      </c>
      <c r="P218" s="4" t="n">
        <v>0.21</v>
      </c>
      <c r="Q218" s="3" t="n">
        <v>12.5</v>
      </c>
      <c r="R218" s="3" t="n">
        <f aca="false">O218-Q218</f>
        <v>2.62</v>
      </c>
      <c r="S218" s="3" t="n">
        <v>7.9</v>
      </c>
      <c r="T218" s="3" t="n">
        <f aca="false">Q218-S218</f>
        <v>4.6</v>
      </c>
      <c r="U218" s="4" t="n">
        <f aca="false">IF(Q218=0,0,T218/Q218)</f>
        <v>0.368</v>
      </c>
      <c r="V218" s="2" t="s">
        <v>138</v>
      </c>
      <c r="W218" s="2" t="s">
        <v>154</v>
      </c>
      <c r="X218" s="2" t="s">
        <v>132</v>
      </c>
    </row>
    <row r="219" customFormat="false" ht="15" hidden="false" customHeight="false" outlineLevel="0" collapsed="false">
      <c r="A219" s="5" t="n">
        <v>218</v>
      </c>
      <c r="B219" s="5" t="s">
        <v>322</v>
      </c>
      <c r="C219" s="13" t="n">
        <v>45997</v>
      </c>
      <c r="D219" s="5" t="s">
        <v>139</v>
      </c>
      <c r="E219" s="5" t="s">
        <v>87</v>
      </c>
      <c r="F219" s="5" t="s">
        <v>88</v>
      </c>
      <c r="G219" s="5" t="s">
        <v>85</v>
      </c>
      <c r="H219" s="5" t="s">
        <v>86</v>
      </c>
      <c r="I219" s="11" t="n">
        <v>8</v>
      </c>
      <c r="J219" s="6" t="n">
        <v>2.49</v>
      </c>
      <c r="K219" s="6" t="n">
        <v>19.92</v>
      </c>
      <c r="L219" s="7" t="n">
        <v>0.05</v>
      </c>
      <c r="M219" s="6" t="n">
        <v>1</v>
      </c>
      <c r="N219" s="6" t="n">
        <v>3.78</v>
      </c>
      <c r="O219" s="6" t="n">
        <f aca="false">K219-M219-N219</f>
        <v>15.14</v>
      </c>
      <c r="P219" s="7" t="n">
        <v>0.1</v>
      </c>
      <c r="Q219" s="6" t="n">
        <v>13.76</v>
      </c>
      <c r="R219" s="6" t="n">
        <f aca="false">O219-Q219</f>
        <v>1.38</v>
      </c>
      <c r="S219" s="6" t="n">
        <v>12</v>
      </c>
      <c r="T219" s="6" t="n">
        <f aca="false">Q219-S219</f>
        <v>1.76</v>
      </c>
      <c r="U219" s="7" t="n">
        <f aca="false">IF(Q219=0,0,T219/Q219)</f>
        <v>0.127906976744186</v>
      </c>
      <c r="V219" s="5" t="s">
        <v>126</v>
      </c>
      <c r="W219" s="5" t="s">
        <v>156</v>
      </c>
      <c r="X219" s="5" t="s">
        <v>176</v>
      </c>
    </row>
    <row r="220" customFormat="false" ht="15" hidden="false" customHeight="false" outlineLevel="0" collapsed="false">
      <c r="A220" s="2" t="n">
        <v>219</v>
      </c>
      <c r="B220" s="2" t="s">
        <v>322</v>
      </c>
      <c r="C220" s="12" t="n">
        <v>45997</v>
      </c>
      <c r="D220" s="2" t="s">
        <v>139</v>
      </c>
      <c r="E220" s="2" t="s">
        <v>34</v>
      </c>
      <c r="F220" s="2" t="s">
        <v>35</v>
      </c>
      <c r="G220" s="2" t="s">
        <v>30</v>
      </c>
      <c r="H220" s="2" t="s">
        <v>23</v>
      </c>
      <c r="I220" s="9" t="n">
        <v>1</v>
      </c>
      <c r="J220" s="3" t="n">
        <v>44.9</v>
      </c>
      <c r="K220" s="3" t="n">
        <v>44.9</v>
      </c>
      <c r="L220" s="4" t="n">
        <v>0</v>
      </c>
      <c r="M220" s="3" t="n">
        <v>0</v>
      </c>
      <c r="N220" s="3" t="n">
        <v>8.98</v>
      </c>
      <c r="O220" s="3" t="n">
        <f aca="false">K220-M220-N220</f>
        <v>35.92</v>
      </c>
      <c r="P220" s="4" t="n">
        <v>0.21</v>
      </c>
      <c r="Q220" s="3" t="n">
        <v>29.69</v>
      </c>
      <c r="R220" s="3" t="n">
        <f aca="false">O220-Q220</f>
        <v>6.23</v>
      </c>
      <c r="S220" s="3" t="n">
        <v>19</v>
      </c>
      <c r="T220" s="3" t="n">
        <f aca="false">Q220-S220</f>
        <v>10.69</v>
      </c>
      <c r="U220" s="4" t="n">
        <f aca="false">IF(Q220=0,0,T220/Q220)</f>
        <v>0.36005389019872</v>
      </c>
      <c r="V220" s="2" t="s">
        <v>126</v>
      </c>
      <c r="W220" s="2" t="s">
        <v>156</v>
      </c>
      <c r="X220" s="2" t="s">
        <v>176</v>
      </c>
    </row>
    <row r="221" customFormat="false" ht="15" hidden="false" customHeight="false" outlineLevel="0" collapsed="false">
      <c r="A221" s="5" t="n">
        <v>220</v>
      </c>
      <c r="B221" s="5" t="s">
        <v>322</v>
      </c>
      <c r="C221" s="13" t="n">
        <v>45997</v>
      </c>
      <c r="D221" s="5" t="s">
        <v>139</v>
      </c>
      <c r="E221" s="5" t="s">
        <v>55</v>
      </c>
      <c r="F221" s="5" t="s">
        <v>56</v>
      </c>
      <c r="G221" s="5" t="s">
        <v>51</v>
      </c>
      <c r="H221" s="5" t="s">
        <v>52</v>
      </c>
      <c r="I221" s="11" t="n">
        <v>3</v>
      </c>
      <c r="J221" s="6" t="n">
        <v>119</v>
      </c>
      <c r="K221" s="6" t="n">
        <v>357</v>
      </c>
      <c r="L221" s="7" t="n">
        <v>0.05</v>
      </c>
      <c r="M221" s="6" t="n">
        <v>17.85</v>
      </c>
      <c r="N221" s="6" t="n">
        <v>67.83</v>
      </c>
      <c r="O221" s="6" t="n">
        <f aca="false">K221-M221-N221</f>
        <v>271.32</v>
      </c>
      <c r="P221" s="7" t="n">
        <v>0.21</v>
      </c>
      <c r="Q221" s="6" t="n">
        <v>224.23</v>
      </c>
      <c r="R221" s="6" t="n">
        <f aca="false">O221-Q221</f>
        <v>47.09</v>
      </c>
      <c r="S221" s="6" t="n">
        <v>165</v>
      </c>
      <c r="T221" s="6" t="n">
        <f aca="false">Q221-S221</f>
        <v>59.23</v>
      </c>
      <c r="U221" s="7" t="n">
        <f aca="false">IF(Q221=0,0,T221/Q221)</f>
        <v>0.264148419034028</v>
      </c>
      <c r="V221" s="5" t="s">
        <v>126</v>
      </c>
      <c r="W221" s="5" t="s">
        <v>156</v>
      </c>
      <c r="X221" s="5" t="s">
        <v>176</v>
      </c>
    </row>
    <row r="222" customFormat="false" ht="15" hidden="false" customHeight="false" outlineLevel="0" collapsed="false">
      <c r="A222" s="2" t="n">
        <v>221</v>
      </c>
      <c r="B222" s="2" t="s">
        <v>323</v>
      </c>
      <c r="C222" s="12" t="n">
        <v>45997</v>
      </c>
      <c r="D222" s="2" t="s">
        <v>188</v>
      </c>
      <c r="E222" s="2" t="s">
        <v>34</v>
      </c>
      <c r="F222" s="2" t="s">
        <v>35</v>
      </c>
      <c r="G222" s="2" t="s">
        <v>30</v>
      </c>
      <c r="H222" s="2" t="s">
        <v>23</v>
      </c>
      <c r="I222" s="9" t="n">
        <v>1</v>
      </c>
      <c r="J222" s="3" t="n">
        <v>44.9</v>
      </c>
      <c r="K222" s="3" t="n">
        <v>44.9</v>
      </c>
      <c r="L222" s="4" t="n">
        <v>0.15</v>
      </c>
      <c r="M222" s="3" t="n">
        <v>6.74</v>
      </c>
      <c r="N222" s="3" t="n">
        <v>7.63</v>
      </c>
      <c r="O222" s="3" t="n">
        <f aca="false">K222-M222-N222</f>
        <v>30.53</v>
      </c>
      <c r="P222" s="4" t="n">
        <v>0.21</v>
      </c>
      <c r="Q222" s="3" t="n">
        <v>25.23</v>
      </c>
      <c r="R222" s="3" t="n">
        <f aca="false">O222-Q222</f>
        <v>5.3</v>
      </c>
      <c r="S222" s="3" t="n">
        <v>19</v>
      </c>
      <c r="T222" s="3" t="n">
        <f aca="false">Q222-S222</f>
        <v>6.23</v>
      </c>
      <c r="U222" s="4" t="n">
        <f aca="false">IF(Q222=0,0,T222/Q222)</f>
        <v>0.246928260007927</v>
      </c>
      <c r="V222" s="2" t="s">
        <v>126</v>
      </c>
      <c r="W222" s="2" t="s">
        <v>154</v>
      </c>
      <c r="X222" s="2" t="s">
        <v>132</v>
      </c>
    </row>
    <row r="223" customFormat="false" ht="15" hidden="false" customHeight="false" outlineLevel="0" collapsed="false">
      <c r="A223" s="5" t="n">
        <v>222</v>
      </c>
      <c r="B223" s="5" t="s">
        <v>324</v>
      </c>
      <c r="C223" s="13" t="n">
        <v>45998</v>
      </c>
      <c r="D223" s="5" t="s">
        <v>217</v>
      </c>
      <c r="E223" s="5" t="s">
        <v>31</v>
      </c>
      <c r="F223" s="5" t="s">
        <v>32</v>
      </c>
      <c r="G223" s="5" t="s">
        <v>33</v>
      </c>
      <c r="H223" s="5" t="s">
        <v>23</v>
      </c>
      <c r="I223" s="11" t="n">
        <v>4</v>
      </c>
      <c r="J223" s="6" t="n">
        <v>89.9</v>
      </c>
      <c r="K223" s="6" t="n">
        <v>359.6</v>
      </c>
      <c r="L223" s="7" t="n">
        <v>0</v>
      </c>
      <c r="M223" s="6" t="n">
        <v>0</v>
      </c>
      <c r="N223" s="6" t="n">
        <v>71.92</v>
      </c>
      <c r="O223" s="6" t="n">
        <f aca="false">K223-M223-N223</f>
        <v>287.68</v>
      </c>
      <c r="P223" s="7" t="n">
        <v>0.21</v>
      </c>
      <c r="Q223" s="6" t="n">
        <v>237.75</v>
      </c>
      <c r="R223" s="6" t="n">
        <f aca="false">O223-Q223</f>
        <v>49.93</v>
      </c>
      <c r="S223" s="6" t="n">
        <v>192</v>
      </c>
      <c r="T223" s="6" t="n">
        <f aca="false">Q223-S223</f>
        <v>45.75</v>
      </c>
      <c r="U223" s="7" t="n">
        <f aca="false">IF(Q223=0,0,T223/Q223)</f>
        <v>0.192429022082019</v>
      </c>
      <c r="V223" s="5" t="s">
        <v>148</v>
      </c>
      <c r="W223" s="5" t="s">
        <v>177</v>
      </c>
      <c r="X223" s="5" t="s">
        <v>132</v>
      </c>
    </row>
    <row r="224" customFormat="false" ht="15" hidden="false" customHeight="false" outlineLevel="0" collapsed="false">
      <c r="A224" s="2" t="n">
        <v>223</v>
      </c>
      <c r="B224" s="2" t="s">
        <v>324</v>
      </c>
      <c r="C224" s="12" t="n">
        <v>45998</v>
      </c>
      <c r="D224" s="2" t="s">
        <v>217</v>
      </c>
      <c r="E224" s="2" t="s">
        <v>49</v>
      </c>
      <c r="F224" s="2" t="s">
        <v>50</v>
      </c>
      <c r="G224" s="2" t="s">
        <v>51</v>
      </c>
      <c r="H224" s="2" t="s">
        <v>52</v>
      </c>
      <c r="I224" s="9" t="n">
        <v>2</v>
      </c>
      <c r="J224" s="3" t="n">
        <v>19.9</v>
      </c>
      <c r="K224" s="3" t="n">
        <v>39.8</v>
      </c>
      <c r="L224" s="4" t="n">
        <v>0</v>
      </c>
      <c r="M224" s="3" t="n">
        <v>0</v>
      </c>
      <c r="N224" s="3" t="n">
        <v>7.96</v>
      </c>
      <c r="O224" s="3" t="n">
        <f aca="false">K224-M224-N224</f>
        <v>31.84</v>
      </c>
      <c r="P224" s="4" t="n">
        <v>0.21</v>
      </c>
      <c r="Q224" s="3" t="n">
        <v>26.31</v>
      </c>
      <c r="R224" s="3" t="n">
        <f aca="false">O224-Q224</f>
        <v>5.53</v>
      </c>
      <c r="S224" s="3" t="n">
        <v>15.8</v>
      </c>
      <c r="T224" s="3" t="n">
        <f aca="false">Q224-S224</f>
        <v>10.51</v>
      </c>
      <c r="U224" s="4" t="n">
        <f aca="false">IF(Q224=0,0,T224/Q224)</f>
        <v>0.399467882934245</v>
      </c>
      <c r="V224" s="2" t="s">
        <v>148</v>
      </c>
      <c r="W224" s="2" t="s">
        <v>177</v>
      </c>
      <c r="X224" s="2" t="s">
        <v>132</v>
      </c>
    </row>
    <row r="225" customFormat="false" ht="15" hidden="false" customHeight="false" outlineLevel="0" collapsed="false">
      <c r="A225" s="5" t="n">
        <v>224</v>
      </c>
      <c r="B225" s="5" t="s">
        <v>325</v>
      </c>
      <c r="C225" s="13" t="n">
        <v>45999</v>
      </c>
      <c r="D225" s="5" t="s">
        <v>202</v>
      </c>
      <c r="E225" s="5" t="s">
        <v>69</v>
      </c>
      <c r="F225" s="5" t="s">
        <v>70</v>
      </c>
      <c r="G225" s="5" t="s">
        <v>71</v>
      </c>
      <c r="H225" s="5" t="s">
        <v>72</v>
      </c>
      <c r="I225" s="11" t="n">
        <v>2</v>
      </c>
      <c r="J225" s="6" t="n">
        <v>22.9</v>
      </c>
      <c r="K225" s="6" t="n">
        <v>45.8</v>
      </c>
      <c r="L225" s="7" t="n">
        <v>0.05</v>
      </c>
      <c r="M225" s="6" t="n">
        <v>2.29</v>
      </c>
      <c r="N225" s="6" t="n">
        <v>8.7</v>
      </c>
      <c r="O225" s="6" t="n">
        <f aca="false">K225-M225-N225</f>
        <v>34.81</v>
      </c>
      <c r="P225" s="7" t="n">
        <v>0.21</v>
      </c>
      <c r="Q225" s="6" t="n">
        <v>28.77</v>
      </c>
      <c r="R225" s="6" t="n">
        <f aca="false">O225-Q225</f>
        <v>6.04</v>
      </c>
      <c r="S225" s="6" t="n">
        <v>16</v>
      </c>
      <c r="T225" s="6" t="n">
        <f aca="false">Q225-S225</f>
        <v>12.77</v>
      </c>
      <c r="U225" s="7" t="n">
        <f aca="false">IF(Q225=0,0,T225/Q225)</f>
        <v>0.443865137295794</v>
      </c>
      <c r="V225" s="5" t="s">
        <v>193</v>
      </c>
      <c r="W225" s="5" t="s">
        <v>156</v>
      </c>
      <c r="X225" s="5" t="s">
        <v>132</v>
      </c>
    </row>
    <row r="226" customFormat="false" ht="15" hidden="false" customHeight="false" outlineLevel="0" collapsed="false">
      <c r="A226" s="2" t="n">
        <v>225</v>
      </c>
      <c r="B226" s="2" t="s">
        <v>325</v>
      </c>
      <c r="C226" s="12" t="n">
        <v>45999</v>
      </c>
      <c r="D226" s="2" t="s">
        <v>202</v>
      </c>
      <c r="E226" s="2" t="s">
        <v>75</v>
      </c>
      <c r="F226" s="2" t="s">
        <v>76</v>
      </c>
      <c r="G226" s="2" t="s">
        <v>71</v>
      </c>
      <c r="H226" s="2" t="s">
        <v>72</v>
      </c>
      <c r="I226" s="9" t="n">
        <v>2</v>
      </c>
      <c r="J226" s="3" t="n">
        <v>449</v>
      </c>
      <c r="K226" s="3" t="n">
        <v>898</v>
      </c>
      <c r="L226" s="4" t="n">
        <v>0</v>
      </c>
      <c r="M226" s="3" t="n">
        <v>0</v>
      </c>
      <c r="N226" s="3" t="n">
        <v>179.6</v>
      </c>
      <c r="O226" s="3" t="n">
        <f aca="false">K226-M226-N226</f>
        <v>718.4</v>
      </c>
      <c r="P226" s="4" t="n">
        <v>0.21</v>
      </c>
      <c r="Q226" s="3" t="n">
        <v>593.72</v>
      </c>
      <c r="R226" s="3" t="n">
        <f aca="false">O226-Q226</f>
        <v>124.68</v>
      </c>
      <c r="S226" s="3" t="n">
        <v>720</v>
      </c>
      <c r="T226" s="3" t="n">
        <f aca="false">Q226-S226</f>
        <v>-126.28</v>
      </c>
      <c r="U226" s="4" t="n">
        <f aca="false">IF(Q226=0,0,T226/Q226)</f>
        <v>-0.212692851849357</v>
      </c>
      <c r="V226" s="2" t="s">
        <v>193</v>
      </c>
      <c r="W226" s="2" t="s">
        <v>156</v>
      </c>
      <c r="X226" s="2" t="s">
        <v>132</v>
      </c>
    </row>
    <row r="227" customFormat="false" ht="15" hidden="false" customHeight="false" outlineLevel="0" collapsed="false">
      <c r="A227" s="5" t="n">
        <v>226</v>
      </c>
      <c r="B227" s="5" t="s">
        <v>326</v>
      </c>
      <c r="C227" s="13" t="n">
        <v>46000</v>
      </c>
      <c r="D227" s="5" t="s">
        <v>158</v>
      </c>
      <c r="E227" s="5" t="s">
        <v>83</v>
      </c>
      <c r="F227" s="5" t="s">
        <v>84</v>
      </c>
      <c r="G227" s="5" t="s">
        <v>85</v>
      </c>
      <c r="H227" s="5" t="s">
        <v>86</v>
      </c>
      <c r="I227" s="11" t="n">
        <v>1</v>
      </c>
      <c r="J227" s="6" t="n">
        <v>3.9</v>
      </c>
      <c r="K227" s="6" t="n">
        <v>3.9</v>
      </c>
      <c r="L227" s="7" t="n">
        <v>0</v>
      </c>
      <c r="M227" s="6" t="n">
        <v>0</v>
      </c>
      <c r="N227" s="6" t="n">
        <v>0.78</v>
      </c>
      <c r="O227" s="6" t="n">
        <f aca="false">K227-M227-N227</f>
        <v>3.12</v>
      </c>
      <c r="P227" s="7" t="n">
        <v>0.1</v>
      </c>
      <c r="Q227" s="6" t="n">
        <v>2.84</v>
      </c>
      <c r="R227" s="6" t="n">
        <f aca="false">O227-Q227</f>
        <v>0.28</v>
      </c>
      <c r="S227" s="6" t="n">
        <v>2.5</v>
      </c>
      <c r="T227" s="6" t="n">
        <f aca="false">Q227-S227</f>
        <v>0.34</v>
      </c>
      <c r="U227" s="7" t="n">
        <f aca="false">IF(Q227=0,0,T227/Q227)</f>
        <v>0.119718309859155</v>
      </c>
      <c r="V227" s="5" t="s">
        <v>148</v>
      </c>
      <c r="W227" s="5" t="s">
        <v>154</v>
      </c>
      <c r="X227" s="5" t="s">
        <v>132</v>
      </c>
    </row>
    <row r="228" customFormat="false" ht="15" hidden="false" customHeight="false" outlineLevel="0" collapsed="false">
      <c r="A228" s="2" t="n">
        <v>227</v>
      </c>
      <c r="B228" s="2" t="s">
        <v>326</v>
      </c>
      <c r="C228" s="12" t="n">
        <v>46000</v>
      </c>
      <c r="D228" s="2" t="s">
        <v>158</v>
      </c>
      <c r="E228" s="2" t="s">
        <v>92</v>
      </c>
      <c r="F228" s="2" t="s">
        <v>93</v>
      </c>
      <c r="G228" s="2" t="s">
        <v>94</v>
      </c>
      <c r="H228" s="2" t="s">
        <v>95</v>
      </c>
      <c r="I228" s="9" t="n">
        <v>1</v>
      </c>
      <c r="J228" s="3" t="n">
        <v>4.49</v>
      </c>
      <c r="K228" s="3" t="n">
        <v>4.49</v>
      </c>
      <c r="L228" s="4" t="n">
        <v>0.15</v>
      </c>
      <c r="M228" s="3" t="n">
        <v>0.67</v>
      </c>
      <c r="N228" s="3" t="n">
        <v>0.76</v>
      </c>
      <c r="O228" s="3" t="n">
        <f aca="false">K228-M228-N228</f>
        <v>3.06</v>
      </c>
      <c r="P228" s="4" t="n">
        <v>0.1</v>
      </c>
      <c r="Q228" s="3" t="n">
        <v>2.78</v>
      </c>
      <c r="R228" s="3" t="n">
        <f aca="false">O228-Q228</f>
        <v>0.280000000000001</v>
      </c>
      <c r="S228" s="3" t="n">
        <v>2.1</v>
      </c>
      <c r="T228" s="3" t="n">
        <f aca="false">Q228-S228</f>
        <v>0.68</v>
      </c>
      <c r="U228" s="4" t="n">
        <f aca="false">IF(Q228=0,0,T228/Q228)</f>
        <v>0.244604316546763</v>
      </c>
      <c r="V228" s="2" t="s">
        <v>148</v>
      </c>
      <c r="W228" s="2" t="s">
        <v>154</v>
      </c>
      <c r="X228" s="2" t="s">
        <v>132</v>
      </c>
    </row>
    <row r="229" customFormat="false" ht="15" hidden="false" customHeight="false" outlineLevel="0" collapsed="false">
      <c r="A229" s="5" t="n">
        <v>228</v>
      </c>
      <c r="B229" s="5" t="s">
        <v>327</v>
      </c>
      <c r="C229" s="13" t="n">
        <v>46001</v>
      </c>
      <c r="D229" s="5" t="s">
        <v>223</v>
      </c>
      <c r="E229" s="5" t="s">
        <v>69</v>
      </c>
      <c r="F229" s="5" t="s">
        <v>70</v>
      </c>
      <c r="G229" s="5" t="s">
        <v>71</v>
      </c>
      <c r="H229" s="5" t="s">
        <v>72</v>
      </c>
      <c r="I229" s="11" t="n">
        <v>1</v>
      </c>
      <c r="J229" s="6" t="n">
        <v>22.9</v>
      </c>
      <c r="K229" s="6" t="n">
        <v>22.9</v>
      </c>
      <c r="L229" s="7" t="n">
        <v>0</v>
      </c>
      <c r="M229" s="6" t="n">
        <v>0</v>
      </c>
      <c r="N229" s="6" t="n">
        <v>3.44</v>
      </c>
      <c r="O229" s="6" t="n">
        <f aca="false">K229-M229-N229</f>
        <v>19.46</v>
      </c>
      <c r="P229" s="7" t="n">
        <v>0.21</v>
      </c>
      <c r="Q229" s="6" t="n">
        <v>16.08</v>
      </c>
      <c r="R229" s="6" t="n">
        <f aca="false">O229-Q229</f>
        <v>3.38</v>
      </c>
      <c r="S229" s="6" t="n">
        <v>8</v>
      </c>
      <c r="T229" s="6" t="n">
        <f aca="false">Q229-S229</f>
        <v>8.08</v>
      </c>
      <c r="U229" s="7" t="n">
        <f aca="false">IF(Q229=0,0,T229/Q229)</f>
        <v>0.502487562189055</v>
      </c>
      <c r="V229" s="5" t="s">
        <v>126</v>
      </c>
      <c r="W229" s="5" t="s">
        <v>156</v>
      </c>
      <c r="X229" s="5" t="s">
        <v>176</v>
      </c>
    </row>
    <row r="230" customFormat="false" ht="15" hidden="false" customHeight="false" outlineLevel="0" collapsed="false">
      <c r="A230" s="2" t="n">
        <v>229</v>
      </c>
      <c r="B230" s="2" t="s">
        <v>327</v>
      </c>
      <c r="C230" s="12" t="n">
        <v>46001</v>
      </c>
      <c r="D230" s="2" t="s">
        <v>223</v>
      </c>
      <c r="E230" s="2" t="s">
        <v>98</v>
      </c>
      <c r="F230" s="2" t="s">
        <v>99</v>
      </c>
      <c r="G230" s="2" t="s">
        <v>94</v>
      </c>
      <c r="H230" s="2" t="s">
        <v>95</v>
      </c>
      <c r="I230" s="9" t="n">
        <v>5</v>
      </c>
      <c r="J230" s="3" t="n">
        <v>2.99</v>
      </c>
      <c r="K230" s="3" t="n">
        <v>14.95</v>
      </c>
      <c r="L230" s="4" t="n">
        <v>0</v>
      </c>
      <c r="M230" s="3" t="n">
        <v>0</v>
      </c>
      <c r="N230" s="3" t="n">
        <v>2.24</v>
      </c>
      <c r="O230" s="3" t="n">
        <f aca="false">K230-M230-N230</f>
        <v>12.71</v>
      </c>
      <c r="P230" s="4" t="n">
        <v>0.1</v>
      </c>
      <c r="Q230" s="3" t="n">
        <v>11.55</v>
      </c>
      <c r="R230" s="3" t="n">
        <f aca="false">O230-Q230</f>
        <v>1.16</v>
      </c>
      <c r="S230" s="3" t="n">
        <v>6</v>
      </c>
      <c r="T230" s="3" t="n">
        <f aca="false">Q230-S230</f>
        <v>5.55</v>
      </c>
      <c r="U230" s="4" t="n">
        <f aca="false">IF(Q230=0,0,T230/Q230)</f>
        <v>0.480519480519481</v>
      </c>
      <c r="V230" s="2" t="s">
        <v>126</v>
      </c>
      <c r="W230" s="2" t="s">
        <v>156</v>
      </c>
      <c r="X230" s="2" t="s">
        <v>176</v>
      </c>
    </row>
    <row r="231" customFormat="false" ht="15" hidden="false" customHeight="false" outlineLevel="0" collapsed="false">
      <c r="A231" s="5" t="n">
        <v>230</v>
      </c>
      <c r="B231" s="5" t="s">
        <v>328</v>
      </c>
      <c r="C231" s="13" t="n">
        <v>46001</v>
      </c>
      <c r="D231" s="5" t="s">
        <v>188</v>
      </c>
      <c r="E231" s="5" t="s">
        <v>28</v>
      </c>
      <c r="F231" s="5" t="s">
        <v>29</v>
      </c>
      <c r="G231" s="5" t="s">
        <v>30</v>
      </c>
      <c r="H231" s="5" t="s">
        <v>23</v>
      </c>
      <c r="I231" s="11" t="n">
        <v>1</v>
      </c>
      <c r="J231" s="6" t="n">
        <v>289</v>
      </c>
      <c r="K231" s="6" t="n">
        <v>289</v>
      </c>
      <c r="L231" s="7" t="n">
        <v>0</v>
      </c>
      <c r="M231" s="6" t="n">
        <v>0</v>
      </c>
      <c r="N231" s="6" t="n">
        <v>57.8</v>
      </c>
      <c r="O231" s="6" t="n">
        <f aca="false">K231-M231-N231</f>
        <v>231.2</v>
      </c>
      <c r="P231" s="7" t="n">
        <v>0.21</v>
      </c>
      <c r="Q231" s="6" t="n">
        <v>191.07</v>
      </c>
      <c r="R231" s="6" t="n">
        <f aca="false">O231-Q231</f>
        <v>40.13</v>
      </c>
      <c r="S231" s="6" t="n">
        <v>140</v>
      </c>
      <c r="T231" s="6" t="n">
        <f aca="false">Q231-S231</f>
        <v>51.07</v>
      </c>
      <c r="U231" s="7" t="n">
        <f aca="false">IF(Q231=0,0,T231/Q231)</f>
        <v>0.267284241377506</v>
      </c>
      <c r="V231" s="5" t="s">
        <v>193</v>
      </c>
      <c r="W231" s="5" t="s">
        <v>156</v>
      </c>
      <c r="X231" s="5" t="s">
        <v>132</v>
      </c>
    </row>
    <row r="232" customFormat="false" ht="15" hidden="false" customHeight="false" outlineLevel="0" collapsed="false">
      <c r="A232" s="2" t="n">
        <v>231</v>
      </c>
      <c r="B232" s="2" t="s">
        <v>328</v>
      </c>
      <c r="C232" s="12" t="n">
        <v>46001</v>
      </c>
      <c r="D232" s="2" t="s">
        <v>188</v>
      </c>
      <c r="E232" s="2" t="s">
        <v>11</v>
      </c>
      <c r="F232" s="2" t="s">
        <v>12</v>
      </c>
      <c r="G232" s="2" t="s">
        <v>13</v>
      </c>
      <c r="H232" s="2" t="s">
        <v>14</v>
      </c>
      <c r="I232" s="9" t="n">
        <v>4</v>
      </c>
      <c r="J232" s="3" t="n">
        <v>89.9</v>
      </c>
      <c r="K232" s="3" t="n">
        <v>359.6</v>
      </c>
      <c r="L232" s="4" t="n">
        <v>0</v>
      </c>
      <c r="M232" s="3" t="n">
        <v>0</v>
      </c>
      <c r="N232" s="3" t="n">
        <v>71.92</v>
      </c>
      <c r="O232" s="3" t="n">
        <f aca="false">K232-M232-N232</f>
        <v>287.68</v>
      </c>
      <c r="P232" s="4" t="n">
        <v>0.21</v>
      </c>
      <c r="Q232" s="3" t="n">
        <v>237.75</v>
      </c>
      <c r="R232" s="3" t="n">
        <f aca="false">O232-Q232</f>
        <v>49.93</v>
      </c>
      <c r="S232" s="3" t="n">
        <v>154</v>
      </c>
      <c r="T232" s="3" t="n">
        <f aca="false">Q232-S232</f>
        <v>83.75</v>
      </c>
      <c r="U232" s="4" t="n">
        <f aca="false">IF(Q232=0,0,T232/Q232)</f>
        <v>0.352260778128286</v>
      </c>
      <c r="V232" s="2" t="s">
        <v>193</v>
      </c>
      <c r="W232" s="2" t="s">
        <v>156</v>
      </c>
      <c r="X232" s="2" t="s">
        <v>132</v>
      </c>
    </row>
    <row r="233" customFormat="false" ht="15" hidden="false" customHeight="false" outlineLevel="0" collapsed="false">
      <c r="A233" s="5" t="n">
        <v>232</v>
      </c>
      <c r="B233" s="5" t="s">
        <v>328</v>
      </c>
      <c r="C233" s="13" t="n">
        <v>46001</v>
      </c>
      <c r="D233" s="5" t="s">
        <v>188</v>
      </c>
      <c r="E233" s="5" t="s">
        <v>98</v>
      </c>
      <c r="F233" s="5" t="s">
        <v>99</v>
      </c>
      <c r="G233" s="5" t="s">
        <v>94</v>
      </c>
      <c r="H233" s="5" t="s">
        <v>95</v>
      </c>
      <c r="I233" s="11" t="n">
        <v>12</v>
      </c>
      <c r="J233" s="6" t="n">
        <v>2.99</v>
      </c>
      <c r="K233" s="6" t="n">
        <v>35.88</v>
      </c>
      <c r="L233" s="7" t="n">
        <v>0</v>
      </c>
      <c r="M233" s="6" t="n">
        <v>0</v>
      </c>
      <c r="N233" s="6" t="n">
        <v>7.18</v>
      </c>
      <c r="O233" s="6" t="n">
        <f aca="false">K233-M233-N233</f>
        <v>28.7</v>
      </c>
      <c r="P233" s="7" t="n">
        <v>0.1</v>
      </c>
      <c r="Q233" s="6" t="n">
        <v>26.09</v>
      </c>
      <c r="R233" s="6" t="n">
        <f aca="false">O233-Q233</f>
        <v>2.61</v>
      </c>
      <c r="S233" s="6" t="n">
        <v>14.4</v>
      </c>
      <c r="T233" s="6" t="n">
        <f aca="false">Q233-S233</f>
        <v>11.69</v>
      </c>
      <c r="U233" s="7" t="n">
        <f aca="false">IF(Q233=0,0,T233/Q233)</f>
        <v>0.448064392487543</v>
      </c>
      <c r="V233" s="5" t="s">
        <v>193</v>
      </c>
      <c r="W233" s="5" t="s">
        <v>156</v>
      </c>
      <c r="X233" s="5" t="s">
        <v>132</v>
      </c>
    </row>
    <row r="234" customFormat="false" ht="15" hidden="false" customHeight="false" outlineLevel="0" collapsed="false">
      <c r="A234" s="2" t="n">
        <v>233</v>
      </c>
      <c r="B234" s="2" t="s">
        <v>328</v>
      </c>
      <c r="C234" s="12" t="n">
        <v>46001</v>
      </c>
      <c r="D234" s="2" t="s">
        <v>188</v>
      </c>
      <c r="E234" s="2" t="s">
        <v>16</v>
      </c>
      <c r="F234" s="2" t="s">
        <v>17</v>
      </c>
      <c r="G234" s="2" t="s">
        <v>13</v>
      </c>
      <c r="H234" s="2" t="s">
        <v>14</v>
      </c>
      <c r="I234" s="9" t="n">
        <v>1</v>
      </c>
      <c r="J234" s="3" t="n">
        <v>54.9</v>
      </c>
      <c r="K234" s="3" t="n">
        <v>54.9</v>
      </c>
      <c r="L234" s="4" t="n">
        <v>0.15</v>
      </c>
      <c r="M234" s="3" t="n">
        <v>8.24</v>
      </c>
      <c r="N234" s="3" t="n">
        <v>9.33</v>
      </c>
      <c r="O234" s="3" t="n">
        <f aca="false">K234-M234-N234</f>
        <v>37.33</v>
      </c>
      <c r="P234" s="4" t="n">
        <v>0.21</v>
      </c>
      <c r="Q234" s="3" t="n">
        <v>30.85</v>
      </c>
      <c r="R234" s="3" t="n">
        <f aca="false">O234-Q234</f>
        <v>6.48</v>
      </c>
      <c r="S234" s="3" t="n">
        <v>22</v>
      </c>
      <c r="T234" s="3" t="n">
        <f aca="false">Q234-S234</f>
        <v>8.85</v>
      </c>
      <c r="U234" s="4" t="n">
        <f aca="false">IF(Q234=0,0,T234/Q234)</f>
        <v>0.286871961102107</v>
      </c>
      <c r="V234" s="2" t="s">
        <v>193</v>
      </c>
      <c r="W234" s="2" t="s">
        <v>156</v>
      </c>
      <c r="X234" s="2" t="s">
        <v>132</v>
      </c>
    </row>
    <row r="235" customFormat="false" ht="15" hidden="false" customHeight="false" outlineLevel="0" collapsed="false">
      <c r="A235" s="5" t="n">
        <v>234</v>
      </c>
      <c r="B235" s="5" t="s">
        <v>329</v>
      </c>
      <c r="C235" s="13" t="n">
        <v>46002</v>
      </c>
      <c r="D235" s="5" t="s">
        <v>258</v>
      </c>
      <c r="E235" s="5" t="s">
        <v>77</v>
      </c>
      <c r="F235" s="5" t="s">
        <v>78</v>
      </c>
      <c r="G235" s="5" t="s">
        <v>79</v>
      </c>
      <c r="H235" s="5" t="s">
        <v>80</v>
      </c>
      <c r="I235" s="11" t="n">
        <v>1</v>
      </c>
      <c r="J235" s="6" t="n">
        <v>59.9</v>
      </c>
      <c r="K235" s="6" t="n">
        <v>59.9</v>
      </c>
      <c r="L235" s="7" t="n">
        <v>0</v>
      </c>
      <c r="M235" s="6" t="n">
        <v>0</v>
      </c>
      <c r="N235" s="6" t="n">
        <v>0</v>
      </c>
      <c r="O235" s="6" t="n">
        <f aca="false">K235-M235-N235</f>
        <v>59.9</v>
      </c>
      <c r="P235" s="7" t="n">
        <v>0.21</v>
      </c>
      <c r="Q235" s="6" t="n">
        <v>49.5</v>
      </c>
      <c r="R235" s="6" t="n">
        <f aca="false">O235-Q235</f>
        <v>10.4</v>
      </c>
      <c r="S235" s="6" t="n">
        <v>24</v>
      </c>
      <c r="T235" s="6" t="n">
        <f aca="false">Q235-S235</f>
        <v>25.5</v>
      </c>
      <c r="U235" s="7" t="n">
        <f aca="false">IF(Q235=0,0,T235/Q235)</f>
        <v>0.515151515151515</v>
      </c>
      <c r="V235" s="5" t="s">
        <v>138</v>
      </c>
      <c r="W235" s="5" t="s">
        <v>154</v>
      </c>
      <c r="X235" s="5" t="s">
        <v>132</v>
      </c>
    </row>
    <row r="236" customFormat="false" ht="15" hidden="false" customHeight="false" outlineLevel="0" collapsed="false">
      <c r="A236" s="2" t="n">
        <v>235</v>
      </c>
      <c r="B236" s="2" t="s">
        <v>330</v>
      </c>
      <c r="C236" s="12" t="n">
        <v>46002</v>
      </c>
      <c r="D236" s="2" t="s">
        <v>127</v>
      </c>
      <c r="E236" s="2" t="s">
        <v>77</v>
      </c>
      <c r="F236" s="2" t="s">
        <v>78</v>
      </c>
      <c r="G236" s="2" t="s">
        <v>79</v>
      </c>
      <c r="H236" s="2" t="s">
        <v>80</v>
      </c>
      <c r="I236" s="9" t="n">
        <v>1</v>
      </c>
      <c r="J236" s="3" t="n">
        <v>59.9</v>
      </c>
      <c r="K236" s="3" t="n">
        <v>59.9</v>
      </c>
      <c r="L236" s="4" t="n">
        <v>0</v>
      </c>
      <c r="M236" s="3" t="n">
        <v>0</v>
      </c>
      <c r="N236" s="3" t="n">
        <v>11.98</v>
      </c>
      <c r="O236" s="3" t="n">
        <f aca="false">K236-M236-N236</f>
        <v>47.92</v>
      </c>
      <c r="P236" s="4" t="n">
        <v>0.21</v>
      </c>
      <c r="Q236" s="3" t="n">
        <v>39.6</v>
      </c>
      <c r="R236" s="3" t="n">
        <f aca="false">O236-Q236</f>
        <v>8.32</v>
      </c>
      <c r="S236" s="3" t="n">
        <v>24</v>
      </c>
      <c r="T236" s="3" t="n">
        <f aca="false">Q236-S236</f>
        <v>15.6</v>
      </c>
      <c r="U236" s="4" t="n">
        <f aca="false">IF(Q236=0,0,T236/Q236)</f>
        <v>0.393939393939394</v>
      </c>
      <c r="V236" s="2" t="s">
        <v>126</v>
      </c>
      <c r="W236" s="2" t="s">
        <v>136</v>
      </c>
      <c r="X236" s="2" t="s">
        <v>132</v>
      </c>
    </row>
    <row r="237" customFormat="false" ht="15" hidden="false" customHeight="false" outlineLevel="0" collapsed="false">
      <c r="A237" s="5" t="n">
        <v>236</v>
      </c>
      <c r="B237" s="5" t="s">
        <v>330</v>
      </c>
      <c r="C237" s="13" t="n">
        <v>46002</v>
      </c>
      <c r="D237" s="5" t="s">
        <v>127</v>
      </c>
      <c r="E237" s="5" t="s">
        <v>61</v>
      </c>
      <c r="F237" s="5" t="s">
        <v>62</v>
      </c>
      <c r="G237" s="5" t="s">
        <v>59</v>
      </c>
      <c r="H237" s="5" t="s">
        <v>60</v>
      </c>
      <c r="I237" s="11" t="n">
        <v>1</v>
      </c>
      <c r="J237" s="6" t="n">
        <v>18.9</v>
      </c>
      <c r="K237" s="6" t="n">
        <v>18.9</v>
      </c>
      <c r="L237" s="7" t="n">
        <v>0</v>
      </c>
      <c r="M237" s="6" t="n">
        <v>0</v>
      </c>
      <c r="N237" s="6" t="n">
        <v>3.78</v>
      </c>
      <c r="O237" s="6" t="n">
        <f aca="false">K237-M237-N237</f>
        <v>15.12</v>
      </c>
      <c r="P237" s="7" t="n">
        <v>0.21</v>
      </c>
      <c r="Q237" s="6" t="n">
        <v>12.5</v>
      </c>
      <c r="R237" s="6" t="n">
        <f aca="false">O237-Q237</f>
        <v>2.62</v>
      </c>
      <c r="S237" s="6" t="n">
        <v>6.5</v>
      </c>
      <c r="T237" s="6" t="n">
        <f aca="false">Q237-S237</f>
        <v>6</v>
      </c>
      <c r="U237" s="7" t="n">
        <f aca="false">IF(Q237=0,0,T237/Q237)</f>
        <v>0.48</v>
      </c>
      <c r="V237" s="5" t="s">
        <v>126</v>
      </c>
      <c r="W237" s="5" t="s">
        <v>136</v>
      </c>
      <c r="X237" s="5" t="s">
        <v>132</v>
      </c>
    </row>
    <row r="238" customFormat="false" ht="15" hidden="false" customHeight="false" outlineLevel="0" collapsed="false">
      <c r="A238" s="2" t="n">
        <v>237</v>
      </c>
      <c r="B238" s="2" t="s">
        <v>331</v>
      </c>
      <c r="C238" s="12" t="n">
        <v>46002</v>
      </c>
      <c r="D238" s="2" t="s">
        <v>179</v>
      </c>
      <c r="E238" s="2" t="s">
        <v>49</v>
      </c>
      <c r="F238" s="2" t="s">
        <v>50</v>
      </c>
      <c r="G238" s="2" t="s">
        <v>51</v>
      </c>
      <c r="H238" s="2" t="s">
        <v>52</v>
      </c>
      <c r="I238" s="9" t="n">
        <v>2</v>
      </c>
      <c r="J238" s="3" t="n">
        <v>19.9</v>
      </c>
      <c r="K238" s="3" t="n">
        <v>39.8</v>
      </c>
      <c r="L238" s="4" t="n">
        <v>0</v>
      </c>
      <c r="M238" s="3" t="n">
        <v>0</v>
      </c>
      <c r="N238" s="3" t="n">
        <v>0</v>
      </c>
      <c r="O238" s="3" t="n">
        <f aca="false">K238-M238-N238</f>
        <v>39.8</v>
      </c>
      <c r="P238" s="4" t="n">
        <v>0.21</v>
      </c>
      <c r="Q238" s="3" t="n">
        <v>32.89</v>
      </c>
      <c r="R238" s="3" t="n">
        <f aca="false">O238-Q238</f>
        <v>6.91</v>
      </c>
      <c r="S238" s="3" t="n">
        <v>15.8</v>
      </c>
      <c r="T238" s="3" t="n">
        <f aca="false">Q238-S238</f>
        <v>17.09</v>
      </c>
      <c r="U238" s="4" t="n">
        <f aca="false">IF(Q238=0,0,T238/Q238)</f>
        <v>0.51961082395865</v>
      </c>
      <c r="V238" s="2" t="s">
        <v>126</v>
      </c>
      <c r="W238" s="2" t="s">
        <v>136</v>
      </c>
      <c r="X238" s="2" t="s">
        <v>132</v>
      </c>
    </row>
    <row r="239" customFormat="false" ht="15" hidden="false" customHeight="false" outlineLevel="0" collapsed="false">
      <c r="A239" s="5" t="n">
        <v>238</v>
      </c>
      <c r="B239" s="5" t="s">
        <v>331</v>
      </c>
      <c r="C239" s="13" t="n">
        <v>46002</v>
      </c>
      <c r="D239" s="5" t="s">
        <v>179</v>
      </c>
      <c r="E239" s="5" t="s">
        <v>98</v>
      </c>
      <c r="F239" s="5" t="s">
        <v>99</v>
      </c>
      <c r="G239" s="5" t="s">
        <v>94</v>
      </c>
      <c r="H239" s="5" t="s">
        <v>95</v>
      </c>
      <c r="I239" s="11" t="n">
        <v>3</v>
      </c>
      <c r="J239" s="6" t="n">
        <v>2.99</v>
      </c>
      <c r="K239" s="6" t="n">
        <v>8.97</v>
      </c>
      <c r="L239" s="7" t="n">
        <v>0.25</v>
      </c>
      <c r="M239" s="6" t="n">
        <v>2.24</v>
      </c>
      <c r="N239" s="6" t="n">
        <v>0</v>
      </c>
      <c r="O239" s="6" t="n">
        <f aca="false">K239-M239-N239</f>
        <v>6.73</v>
      </c>
      <c r="P239" s="7" t="n">
        <v>0.1</v>
      </c>
      <c r="Q239" s="6" t="n">
        <v>6.12</v>
      </c>
      <c r="R239" s="6" t="n">
        <f aca="false">O239-Q239</f>
        <v>0.61</v>
      </c>
      <c r="S239" s="6" t="n">
        <v>3.6</v>
      </c>
      <c r="T239" s="6" t="n">
        <f aca="false">Q239-S239</f>
        <v>2.52</v>
      </c>
      <c r="U239" s="7" t="n">
        <f aca="false">IF(Q239=0,0,T239/Q239)</f>
        <v>0.411764705882353</v>
      </c>
      <c r="V239" s="5" t="s">
        <v>126</v>
      </c>
      <c r="W239" s="5" t="s">
        <v>136</v>
      </c>
      <c r="X239" s="5" t="s">
        <v>132</v>
      </c>
    </row>
    <row r="240" customFormat="false" ht="15" hidden="false" customHeight="false" outlineLevel="0" collapsed="false">
      <c r="A240" s="2" t="n">
        <v>239</v>
      </c>
      <c r="B240" s="2" t="s">
        <v>332</v>
      </c>
      <c r="C240" s="12" t="n">
        <v>46003</v>
      </c>
      <c r="D240" s="2" t="s">
        <v>164</v>
      </c>
      <c r="E240" s="2" t="s">
        <v>61</v>
      </c>
      <c r="F240" s="2" t="s">
        <v>62</v>
      </c>
      <c r="G240" s="2" t="s">
        <v>59</v>
      </c>
      <c r="H240" s="2" t="s">
        <v>60</v>
      </c>
      <c r="I240" s="9" t="n">
        <v>1</v>
      </c>
      <c r="J240" s="3" t="n">
        <v>18.9</v>
      </c>
      <c r="K240" s="3" t="n">
        <v>18.9</v>
      </c>
      <c r="L240" s="4" t="n">
        <v>0.05</v>
      </c>
      <c r="M240" s="3" t="n">
        <v>0.94</v>
      </c>
      <c r="N240" s="3" t="n">
        <v>0</v>
      </c>
      <c r="O240" s="3" t="n">
        <f aca="false">K240-M240-N240</f>
        <v>17.96</v>
      </c>
      <c r="P240" s="4" t="n">
        <v>0.21</v>
      </c>
      <c r="Q240" s="3" t="n">
        <v>14.84</v>
      </c>
      <c r="R240" s="3" t="n">
        <f aca="false">O240-Q240</f>
        <v>3.12</v>
      </c>
      <c r="S240" s="3" t="n">
        <v>6.5</v>
      </c>
      <c r="T240" s="3" t="n">
        <f aca="false">Q240-S240</f>
        <v>8.34</v>
      </c>
      <c r="U240" s="4" t="n">
        <f aca="false">IF(Q240=0,0,T240/Q240)</f>
        <v>0.561994609164421</v>
      </c>
      <c r="V240" s="2" t="s">
        <v>126</v>
      </c>
      <c r="W240" s="2" t="s">
        <v>156</v>
      </c>
      <c r="X240" s="2" t="s">
        <v>132</v>
      </c>
    </row>
    <row r="241" customFormat="false" ht="15" hidden="false" customHeight="false" outlineLevel="0" collapsed="false">
      <c r="A241" s="5" t="n">
        <v>240</v>
      </c>
      <c r="B241" s="5" t="s">
        <v>333</v>
      </c>
      <c r="C241" s="13" t="n">
        <v>46003</v>
      </c>
      <c r="D241" s="5" t="s">
        <v>149</v>
      </c>
      <c r="E241" s="5" t="s">
        <v>16</v>
      </c>
      <c r="F241" s="5" t="s">
        <v>17</v>
      </c>
      <c r="G241" s="5" t="s">
        <v>13</v>
      </c>
      <c r="H241" s="5" t="s">
        <v>14</v>
      </c>
      <c r="I241" s="11" t="n">
        <v>2</v>
      </c>
      <c r="J241" s="6" t="n">
        <v>54.9</v>
      </c>
      <c r="K241" s="6" t="n">
        <v>109.8</v>
      </c>
      <c r="L241" s="7" t="n">
        <v>0</v>
      </c>
      <c r="M241" s="6" t="n">
        <v>0</v>
      </c>
      <c r="N241" s="6" t="n">
        <v>21.96</v>
      </c>
      <c r="O241" s="6" t="n">
        <f aca="false">K241-M241-N241</f>
        <v>87.84</v>
      </c>
      <c r="P241" s="7" t="n">
        <v>0.21</v>
      </c>
      <c r="Q241" s="6" t="n">
        <v>72.6</v>
      </c>
      <c r="R241" s="6" t="n">
        <f aca="false">O241-Q241</f>
        <v>15.24</v>
      </c>
      <c r="S241" s="6" t="n">
        <v>44</v>
      </c>
      <c r="T241" s="6" t="n">
        <f aca="false">Q241-S241</f>
        <v>28.6</v>
      </c>
      <c r="U241" s="7" t="n">
        <f aca="false">IF(Q241=0,0,T241/Q241)</f>
        <v>0.393939393939394</v>
      </c>
      <c r="V241" s="5" t="s">
        <v>172</v>
      </c>
      <c r="W241" s="5" t="s">
        <v>154</v>
      </c>
      <c r="X241" s="5" t="s">
        <v>132</v>
      </c>
    </row>
    <row r="242" customFormat="false" ht="15" hidden="false" customHeight="false" outlineLevel="0" collapsed="false">
      <c r="A242" s="2" t="n">
        <v>241</v>
      </c>
      <c r="B242" s="2" t="s">
        <v>334</v>
      </c>
      <c r="C242" s="12" t="n">
        <v>46004</v>
      </c>
      <c r="D242" s="2" t="s">
        <v>179</v>
      </c>
      <c r="E242" s="2" t="s">
        <v>47</v>
      </c>
      <c r="F242" s="2" t="s">
        <v>48</v>
      </c>
      <c r="G242" s="2" t="s">
        <v>44</v>
      </c>
      <c r="H242" s="2" t="s">
        <v>39</v>
      </c>
      <c r="I242" s="9" t="n">
        <v>1</v>
      </c>
      <c r="J242" s="3" t="n">
        <v>34.9</v>
      </c>
      <c r="K242" s="3" t="n">
        <v>34.9</v>
      </c>
      <c r="L242" s="4" t="n">
        <v>0.15</v>
      </c>
      <c r="M242" s="3" t="n">
        <v>5.24</v>
      </c>
      <c r="N242" s="3" t="n">
        <v>0</v>
      </c>
      <c r="O242" s="3" t="n">
        <f aca="false">K242-M242-N242</f>
        <v>29.66</v>
      </c>
      <c r="P242" s="4" t="n">
        <v>0.21</v>
      </c>
      <c r="Q242" s="3" t="n">
        <v>24.51</v>
      </c>
      <c r="R242" s="3" t="n">
        <f aca="false">O242-Q242</f>
        <v>5.15</v>
      </c>
      <c r="S242" s="3" t="n">
        <v>14</v>
      </c>
      <c r="T242" s="3" t="n">
        <f aca="false">Q242-S242</f>
        <v>10.51</v>
      </c>
      <c r="U242" s="4" t="n">
        <f aca="false">IF(Q242=0,0,T242/Q242)</f>
        <v>0.428804569563444</v>
      </c>
      <c r="V242" s="2" t="s">
        <v>148</v>
      </c>
      <c r="W242" s="2" t="s">
        <v>177</v>
      </c>
      <c r="X242" s="2" t="s">
        <v>132</v>
      </c>
    </row>
    <row r="243" customFormat="false" ht="15" hidden="false" customHeight="false" outlineLevel="0" collapsed="false">
      <c r="A243" s="5" t="n">
        <v>242</v>
      </c>
      <c r="B243" s="5" t="s">
        <v>334</v>
      </c>
      <c r="C243" s="13" t="n">
        <v>46004</v>
      </c>
      <c r="D243" s="5" t="s">
        <v>179</v>
      </c>
      <c r="E243" s="5" t="s">
        <v>81</v>
      </c>
      <c r="F243" s="5" t="s">
        <v>82</v>
      </c>
      <c r="G243" s="5" t="s">
        <v>79</v>
      </c>
      <c r="H243" s="5" t="s">
        <v>80</v>
      </c>
      <c r="I243" s="11" t="n">
        <v>1</v>
      </c>
      <c r="J243" s="6" t="n">
        <v>19.9</v>
      </c>
      <c r="K243" s="6" t="n">
        <v>19.9</v>
      </c>
      <c r="L243" s="7" t="n">
        <v>0.05</v>
      </c>
      <c r="M243" s="6" t="n">
        <v>1</v>
      </c>
      <c r="N243" s="6" t="n">
        <v>0</v>
      </c>
      <c r="O243" s="6" t="n">
        <f aca="false">K243-M243-N243</f>
        <v>18.9</v>
      </c>
      <c r="P243" s="7" t="n">
        <v>0.21</v>
      </c>
      <c r="Q243" s="6" t="n">
        <v>15.62</v>
      </c>
      <c r="R243" s="6" t="n">
        <f aca="false">O243-Q243</f>
        <v>3.28</v>
      </c>
      <c r="S243" s="6" t="n">
        <v>7</v>
      </c>
      <c r="T243" s="6" t="n">
        <f aca="false">Q243-S243</f>
        <v>8.62</v>
      </c>
      <c r="U243" s="7" t="n">
        <f aca="false">IF(Q243=0,0,T243/Q243)</f>
        <v>0.551856594110115</v>
      </c>
      <c r="V243" s="5" t="s">
        <v>148</v>
      </c>
      <c r="W243" s="5" t="s">
        <v>177</v>
      </c>
      <c r="X243" s="5" t="s">
        <v>132</v>
      </c>
    </row>
    <row r="244" customFormat="false" ht="15" hidden="false" customHeight="false" outlineLevel="0" collapsed="false">
      <c r="A244" s="2" t="n">
        <v>243</v>
      </c>
      <c r="B244" s="2" t="s">
        <v>335</v>
      </c>
      <c r="C244" s="12" t="n">
        <v>46004</v>
      </c>
      <c r="D244" s="2" t="s">
        <v>188</v>
      </c>
      <c r="E244" s="2" t="s">
        <v>28</v>
      </c>
      <c r="F244" s="2" t="s">
        <v>29</v>
      </c>
      <c r="G244" s="2" t="s">
        <v>30</v>
      </c>
      <c r="H244" s="2" t="s">
        <v>23</v>
      </c>
      <c r="I244" s="9" t="n">
        <v>1</v>
      </c>
      <c r="J244" s="3" t="n">
        <v>289</v>
      </c>
      <c r="K244" s="3" t="n">
        <v>289</v>
      </c>
      <c r="L244" s="4" t="n">
        <v>0.15</v>
      </c>
      <c r="M244" s="3" t="n">
        <v>43.35</v>
      </c>
      <c r="N244" s="3" t="n">
        <v>0</v>
      </c>
      <c r="O244" s="3" t="n">
        <f aca="false">K244-M244-N244</f>
        <v>245.65</v>
      </c>
      <c r="P244" s="4" t="n">
        <v>0.21</v>
      </c>
      <c r="Q244" s="3" t="n">
        <v>203.02</v>
      </c>
      <c r="R244" s="3" t="n">
        <f aca="false">O244-Q244</f>
        <v>42.63</v>
      </c>
      <c r="S244" s="3" t="n">
        <v>140</v>
      </c>
      <c r="T244" s="3" t="n">
        <f aca="false">Q244-S244</f>
        <v>63.02</v>
      </c>
      <c r="U244" s="4" t="n">
        <f aca="false">IF(Q244=0,0,T244/Q244)</f>
        <v>0.310412767215053</v>
      </c>
      <c r="V244" s="2" t="s">
        <v>126</v>
      </c>
      <c r="W244" s="2" t="s">
        <v>136</v>
      </c>
      <c r="X244" s="2" t="s">
        <v>132</v>
      </c>
    </row>
    <row r="245" customFormat="false" ht="15" hidden="false" customHeight="false" outlineLevel="0" collapsed="false">
      <c r="A245" s="5" t="n">
        <v>244</v>
      </c>
      <c r="B245" s="5" t="s">
        <v>336</v>
      </c>
      <c r="C245" s="13" t="n">
        <v>46005</v>
      </c>
      <c r="D245" s="5" t="s">
        <v>164</v>
      </c>
      <c r="E245" s="5" t="s">
        <v>67</v>
      </c>
      <c r="F245" s="5" t="s">
        <v>68</v>
      </c>
      <c r="G245" s="5" t="s">
        <v>65</v>
      </c>
      <c r="H245" s="5" t="s">
        <v>66</v>
      </c>
      <c r="I245" s="11" t="n">
        <v>1</v>
      </c>
      <c r="J245" s="6" t="n">
        <v>64.9</v>
      </c>
      <c r="K245" s="6" t="n">
        <v>64.9</v>
      </c>
      <c r="L245" s="7" t="n">
        <v>0.15</v>
      </c>
      <c r="M245" s="6" t="n">
        <v>9.74</v>
      </c>
      <c r="N245" s="6" t="n">
        <v>8.27</v>
      </c>
      <c r="O245" s="6" t="n">
        <f aca="false">K245-M245-N245</f>
        <v>46.89</v>
      </c>
      <c r="P245" s="7" t="n">
        <v>0.21</v>
      </c>
      <c r="Q245" s="6" t="n">
        <v>38.75</v>
      </c>
      <c r="R245" s="6" t="n">
        <f aca="false">O245-Q245</f>
        <v>8.14</v>
      </c>
      <c r="S245" s="6" t="n">
        <v>28</v>
      </c>
      <c r="T245" s="6" t="n">
        <f aca="false">Q245-S245</f>
        <v>10.75</v>
      </c>
      <c r="U245" s="7" t="n">
        <f aca="false">IF(Q245=0,0,T245/Q245)</f>
        <v>0.27741935483871</v>
      </c>
      <c r="V245" s="5" t="s">
        <v>138</v>
      </c>
      <c r="W245" s="5" t="s">
        <v>156</v>
      </c>
      <c r="X245" s="5" t="s">
        <v>132</v>
      </c>
    </row>
    <row r="246" customFormat="false" ht="15" hidden="false" customHeight="false" outlineLevel="0" collapsed="false">
      <c r="A246" s="2" t="n">
        <v>245</v>
      </c>
      <c r="B246" s="2" t="s">
        <v>336</v>
      </c>
      <c r="C246" s="12" t="n">
        <v>46005</v>
      </c>
      <c r="D246" s="2" t="s">
        <v>164</v>
      </c>
      <c r="E246" s="2" t="s">
        <v>75</v>
      </c>
      <c r="F246" s="2" t="s">
        <v>76</v>
      </c>
      <c r="G246" s="2" t="s">
        <v>71</v>
      </c>
      <c r="H246" s="2" t="s">
        <v>72</v>
      </c>
      <c r="I246" s="9" t="n">
        <v>1</v>
      </c>
      <c r="J246" s="3" t="n">
        <v>449</v>
      </c>
      <c r="K246" s="3" t="n">
        <v>449</v>
      </c>
      <c r="L246" s="4" t="n">
        <v>0</v>
      </c>
      <c r="M246" s="3" t="n">
        <v>0</v>
      </c>
      <c r="N246" s="3" t="n">
        <v>67.35</v>
      </c>
      <c r="O246" s="3" t="n">
        <f aca="false">K246-M246-N246</f>
        <v>381.65</v>
      </c>
      <c r="P246" s="4" t="n">
        <v>0.21</v>
      </c>
      <c r="Q246" s="3" t="n">
        <v>315.41</v>
      </c>
      <c r="R246" s="3" t="n">
        <f aca="false">O246-Q246</f>
        <v>66.24</v>
      </c>
      <c r="S246" s="3" t="n">
        <v>360</v>
      </c>
      <c r="T246" s="3" t="n">
        <f aca="false">Q246-S246</f>
        <v>-44.59</v>
      </c>
      <c r="U246" s="4" t="n">
        <f aca="false">IF(Q246=0,0,T246/Q246)</f>
        <v>-0.141371548143686</v>
      </c>
      <c r="V246" s="2" t="s">
        <v>138</v>
      </c>
      <c r="W246" s="2" t="s">
        <v>156</v>
      </c>
      <c r="X246" s="2" t="s">
        <v>132</v>
      </c>
    </row>
    <row r="247" customFormat="false" ht="15" hidden="false" customHeight="false" outlineLevel="0" collapsed="false">
      <c r="A247" s="5" t="n">
        <v>246</v>
      </c>
      <c r="B247" s="5" t="s">
        <v>337</v>
      </c>
      <c r="C247" s="13" t="n">
        <v>46005</v>
      </c>
      <c r="D247" s="5" t="s">
        <v>149</v>
      </c>
      <c r="E247" s="5" t="s">
        <v>89</v>
      </c>
      <c r="F247" s="5" t="s">
        <v>90</v>
      </c>
      <c r="G247" s="5" t="s">
        <v>91</v>
      </c>
      <c r="H247" s="5" t="s">
        <v>86</v>
      </c>
      <c r="I247" s="11" t="n">
        <v>2</v>
      </c>
      <c r="J247" s="6" t="n">
        <v>4.99</v>
      </c>
      <c r="K247" s="6" t="n">
        <v>9.98</v>
      </c>
      <c r="L247" s="7" t="n">
        <v>0</v>
      </c>
      <c r="M247" s="6" t="n">
        <v>0</v>
      </c>
      <c r="N247" s="6" t="n">
        <v>2</v>
      </c>
      <c r="O247" s="6" t="n">
        <f aca="false">K247-M247-N247</f>
        <v>7.98</v>
      </c>
      <c r="P247" s="7" t="n">
        <v>0.1</v>
      </c>
      <c r="Q247" s="6" t="n">
        <v>7.25</v>
      </c>
      <c r="R247" s="6" t="n">
        <f aca="false">O247-Q247</f>
        <v>0.73</v>
      </c>
      <c r="S247" s="6" t="n">
        <v>4.6</v>
      </c>
      <c r="T247" s="6" t="n">
        <f aca="false">Q247-S247</f>
        <v>2.65</v>
      </c>
      <c r="U247" s="7" t="n">
        <f aca="false">IF(Q247=0,0,T247/Q247)</f>
        <v>0.36551724137931</v>
      </c>
      <c r="V247" s="5" t="s">
        <v>138</v>
      </c>
      <c r="W247" s="5" t="s">
        <v>154</v>
      </c>
      <c r="X247" s="5" t="s">
        <v>132</v>
      </c>
    </row>
    <row r="248" customFormat="false" ht="15" hidden="false" customHeight="false" outlineLevel="0" collapsed="false">
      <c r="A248" s="2" t="n">
        <v>247</v>
      </c>
      <c r="B248" s="2" t="s">
        <v>337</v>
      </c>
      <c r="C248" s="12" t="n">
        <v>46005</v>
      </c>
      <c r="D248" s="2" t="s">
        <v>149</v>
      </c>
      <c r="E248" s="2" t="s">
        <v>45</v>
      </c>
      <c r="F248" s="2" t="s">
        <v>46</v>
      </c>
      <c r="G248" s="2" t="s">
        <v>38</v>
      </c>
      <c r="H248" s="2" t="s">
        <v>39</v>
      </c>
      <c r="I248" s="9" t="n">
        <v>1</v>
      </c>
      <c r="J248" s="3" t="n">
        <v>79.9</v>
      </c>
      <c r="K248" s="3" t="n">
        <v>79.9</v>
      </c>
      <c r="L248" s="4" t="n">
        <v>0</v>
      </c>
      <c r="M248" s="3" t="n">
        <v>0</v>
      </c>
      <c r="N248" s="3" t="n">
        <v>15.98</v>
      </c>
      <c r="O248" s="3" t="n">
        <f aca="false">K248-M248-N248</f>
        <v>63.92</v>
      </c>
      <c r="P248" s="4" t="n">
        <v>0.21</v>
      </c>
      <c r="Q248" s="3" t="n">
        <v>52.83</v>
      </c>
      <c r="R248" s="3" t="n">
        <f aca="false">O248-Q248</f>
        <v>11.09</v>
      </c>
      <c r="S248" s="3" t="n">
        <v>32</v>
      </c>
      <c r="T248" s="3" t="n">
        <f aca="false">Q248-S248</f>
        <v>20.83</v>
      </c>
      <c r="U248" s="4" t="n">
        <f aca="false">IF(Q248=0,0,T248/Q248)</f>
        <v>0.394283551012682</v>
      </c>
      <c r="V248" s="2" t="s">
        <v>138</v>
      </c>
      <c r="W248" s="2" t="s">
        <v>154</v>
      </c>
      <c r="X248" s="2" t="s">
        <v>132</v>
      </c>
    </row>
    <row r="249" customFormat="false" ht="15" hidden="false" customHeight="false" outlineLevel="0" collapsed="false">
      <c r="A249" s="5" t="n">
        <v>248</v>
      </c>
      <c r="B249" s="5" t="s">
        <v>338</v>
      </c>
      <c r="C249" s="13" t="n">
        <v>46008</v>
      </c>
      <c r="D249" s="5" t="s">
        <v>217</v>
      </c>
      <c r="E249" s="5" t="s">
        <v>18</v>
      </c>
      <c r="F249" s="5" t="s">
        <v>19</v>
      </c>
      <c r="G249" s="5" t="s">
        <v>13</v>
      </c>
      <c r="H249" s="5" t="s">
        <v>14</v>
      </c>
      <c r="I249" s="11" t="n">
        <v>3</v>
      </c>
      <c r="J249" s="6" t="n">
        <v>199</v>
      </c>
      <c r="K249" s="6" t="n">
        <v>597</v>
      </c>
      <c r="L249" s="7" t="n">
        <v>0</v>
      </c>
      <c r="M249" s="6" t="n">
        <v>0</v>
      </c>
      <c r="N249" s="6" t="n">
        <v>89.55</v>
      </c>
      <c r="O249" s="6" t="n">
        <f aca="false">K249-M249-N249</f>
        <v>507.45</v>
      </c>
      <c r="P249" s="7" t="n">
        <v>0.21</v>
      </c>
      <c r="Q249" s="6" t="n">
        <v>419.38</v>
      </c>
      <c r="R249" s="6" t="n">
        <f aca="false">O249-Q249</f>
        <v>88.07</v>
      </c>
      <c r="S249" s="6" t="n">
        <v>285</v>
      </c>
      <c r="T249" s="6" t="n">
        <f aca="false">Q249-S249</f>
        <v>134.38</v>
      </c>
      <c r="U249" s="7" t="n">
        <f aca="false">IF(Q249=0,0,T249/Q249)</f>
        <v>0.320425389861224</v>
      </c>
      <c r="V249" s="5" t="s">
        <v>172</v>
      </c>
      <c r="W249" s="5" t="s">
        <v>177</v>
      </c>
      <c r="X249" s="5" t="s">
        <v>132</v>
      </c>
    </row>
    <row r="250" customFormat="false" ht="15" hidden="false" customHeight="false" outlineLevel="0" collapsed="false">
      <c r="A250" s="2" t="n">
        <v>249</v>
      </c>
      <c r="B250" s="2" t="s">
        <v>338</v>
      </c>
      <c r="C250" s="12" t="n">
        <v>46008</v>
      </c>
      <c r="D250" s="2" t="s">
        <v>217</v>
      </c>
      <c r="E250" s="2" t="s">
        <v>96</v>
      </c>
      <c r="F250" s="2" t="s">
        <v>97</v>
      </c>
      <c r="G250" s="2" t="s">
        <v>94</v>
      </c>
      <c r="H250" s="2" t="s">
        <v>95</v>
      </c>
      <c r="I250" s="9" t="n">
        <v>1</v>
      </c>
      <c r="J250" s="3" t="n">
        <v>7.99</v>
      </c>
      <c r="K250" s="3" t="n">
        <v>7.99</v>
      </c>
      <c r="L250" s="4" t="n">
        <v>0.1</v>
      </c>
      <c r="M250" s="3" t="n">
        <v>0.8</v>
      </c>
      <c r="N250" s="3" t="n">
        <v>1.08</v>
      </c>
      <c r="O250" s="3" t="n">
        <f aca="false">K250-M250-N250</f>
        <v>6.11</v>
      </c>
      <c r="P250" s="4" t="n">
        <v>0.1</v>
      </c>
      <c r="Q250" s="3" t="n">
        <v>5.55</v>
      </c>
      <c r="R250" s="3" t="n">
        <f aca="false">O250-Q250</f>
        <v>0.560000000000001</v>
      </c>
      <c r="S250" s="3" t="n">
        <v>3.4</v>
      </c>
      <c r="T250" s="3" t="n">
        <f aca="false">Q250-S250</f>
        <v>2.15</v>
      </c>
      <c r="U250" s="4" t="n">
        <f aca="false">IF(Q250=0,0,T250/Q250)</f>
        <v>0.387387387387387</v>
      </c>
      <c r="V250" s="2" t="s">
        <v>172</v>
      </c>
      <c r="W250" s="2" t="s">
        <v>177</v>
      </c>
      <c r="X250" s="2" t="s">
        <v>132</v>
      </c>
    </row>
    <row r="251" customFormat="false" ht="15" hidden="false" customHeight="false" outlineLevel="0" collapsed="false">
      <c r="A251" s="5" t="n">
        <v>250</v>
      </c>
      <c r="B251" s="5" t="s">
        <v>338</v>
      </c>
      <c r="C251" s="13" t="n">
        <v>46008</v>
      </c>
      <c r="D251" s="5" t="s">
        <v>217</v>
      </c>
      <c r="E251" s="5" t="s">
        <v>69</v>
      </c>
      <c r="F251" s="5" t="s">
        <v>70</v>
      </c>
      <c r="G251" s="5" t="s">
        <v>71</v>
      </c>
      <c r="H251" s="5" t="s">
        <v>72</v>
      </c>
      <c r="I251" s="11" t="n">
        <v>3</v>
      </c>
      <c r="J251" s="6" t="n">
        <v>22.9</v>
      </c>
      <c r="K251" s="6" t="n">
        <v>68.7</v>
      </c>
      <c r="L251" s="7" t="n">
        <v>0</v>
      </c>
      <c r="M251" s="6" t="n">
        <v>0</v>
      </c>
      <c r="N251" s="6" t="n">
        <v>10.31</v>
      </c>
      <c r="O251" s="6" t="n">
        <f aca="false">K251-M251-N251</f>
        <v>58.39</v>
      </c>
      <c r="P251" s="7" t="n">
        <v>0.21</v>
      </c>
      <c r="Q251" s="6" t="n">
        <v>48.26</v>
      </c>
      <c r="R251" s="6" t="n">
        <f aca="false">O251-Q251</f>
        <v>10.13</v>
      </c>
      <c r="S251" s="6" t="n">
        <v>24</v>
      </c>
      <c r="T251" s="6" t="n">
        <f aca="false">Q251-S251</f>
        <v>24.26</v>
      </c>
      <c r="U251" s="7" t="n">
        <f aca="false">IF(Q251=0,0,T251/Q251)</f>
        <v>0.50269374222959</v>
      </c>
      <c r="V251" s="5" t="s">
        <v>172</v>
      </c>
      <c r="W251" s="5" t="s">
        <v>177</v>
      </c>
      <c r="X251" s="5" t="s">
        <v>132</v>
      </c>
    </row>
    <row r="252" customFormat="false" ht="15" hidden="false" customHeight="false" outlineLevel="0" collapsed="false">
      <c r="A252" s="2" t="n">
        <v>251</v>
      </c>
      <c r="B252" s="2" t="s">
        <v>338</v>
      </c>
      <c r="C252" s="12" t="n">
        <v>46008</v>
      </c>
      <c r="D252" s="2" t="s">
        <v>217</v>
      </c>
      <c r="E252" s="2" t="s">
        <v>40</v>
      </c>
      <c r="F252" s="2" t="s">
        <v>41</v>
      </c>
      <c r="G252" s="2" t="s">
        <v>38</v>
      </c>
      <c r="H252" s="2" t="s">
        <v>39</v>
      </c>
      <c r="I252" s="9" t="n">
        <v>1</v>
      </c>
      <c r="J252" s="3" t="n">
        <v>12.9</v>
      </c>
      <c r="K252" s="3" t="n">
        <v>12.9</v>
      </c>
      <c r="L252" s="4" t="n">
        <v>0</v>
      </c>
      <c r="M252" s="3" t="n">
        <v>0</v>
      </c>
      <c r="N252" s="3" t="n">
        <v>1.93</v>
      </c>
      <c r="O252" s="3" t="n">
        <f aca="false">K252-M252-N252</f>
        <v>10.97</v>
      </c>
      <c r="P252" s="4" t="n">
        <v>0.21</v>
      </c>
      <c r="Q252" s="3" t="n">
        <v>9.07</v>
      </c>
      <c r="R252" s="3" t="n">
        <f aca="false">O252-Q252</f>
        <v>1.9</v>
      </c>
      <c r="S252" s="3" t="n">
        <v>2.1</v>
      </c>
      <c r="T252" s="3" t="n">
        <f aca="false">Q252-S252</f>
        <v>6.97</v>
      </c>
      <c r="U252" s="4" t="n">
        <f aca="false">IF(Q252=0,0,T252/Q252)</f>
        <v>0.768467475192944</v>
      </c>
      <c r="V252" s="2" t="s">
        <v>172</v>
      </c>
      <c r="W252" s="2" t="s">
        <v>177</v>
      </c>
      <c r="X252" s="2" t="s">
        <v>132</v>
      </c>
    </row>
    <row r="253" customFormat="false" ht="15" hidden="false" customHeight="false" outlineLevel="0" collapsed="false">
      <c r="A253" s="5" t="n">
        <v>252</v>
      </c>
      <c r="B253" s="5" t="s">
        <v>339</v>
      </c>
      <c r="C253" s="13" t="n">
        <v>46009</v>
      </c>
      <c r="D253" s="5" t="s">
        <v>158</v>
      </c>
      <c r="E253" s="5" t="s">
        <v>47</v>
      </c>
      <c r="F253" s="5" t="s">
        <v>48</v>
      </c>
      <c r="G253" s="5" t="s">
        <v>44</v>
      </c>
      <c r="H253" s="5" t="s">
        <v>39</v>
      </c>
      <c r="I253" s="11" t="n">
        <v>1</v>
      </c>
      <c r="J253" s="6" t="n">
        <v>34.9</v>
      </c>
      <c r="K253" s="6" t="n">
        <v>34.9</v>
      </c>
      <c r="L253" s="7" t="n">
        <v>0.05</v>
      </c>
      <c r="M253" s="6" t="n">
        <v>1.74</v>
      </c>
      <c r="N253" s="6" t="n">
        <v>0</v>
      </c>
      <c r="O253" s="6" t="n">
        <f aca="false">K253-M253-N253</f>
        <v>33.16</v>
      </c>
      <c r="P253" s="7" t="n">
        <v>0.21</v>
      </c>
      <c r="Q253" s="6" t="n">
        <v>27.4</v>
      </c>
      <c r="R253" s="6" t="n">
        <f aca="false">O253-Q253</f>
        <v>5.76</v>
      </c>
      <c r="S253" s="6" t="n">
        <v>14</v>
      </c>
      <c r="T253" s="6" t="n">
        <f aca="false">Q253-S253</f>
        <v>13.4</v>
      </c>
      <c r="U253" s="7" t="n">
        <f aca="false">IF(Q253=0,0,T253/Q253)</f>
        <v>0.489051094890511</v>
      </c>
      <c r="V253" s="5" t="s">
        <v>193</v>
      </c>
      <c r="W253" s="5" t="s">
        <v>136</v>
      </c>
      <c r="X253" s="5" t="s">
        <v>132</v>
      </c>
    </row>
    <row r="254" customFormat="false" ht="15" hidden="false" customHeight="false" outlineLevel="0" collapsed="false">
      <c r="A254" s="2" t="n">
        <v>253</v>
      </c>
      <c r="B254" s="2" t="s">
        <v>340</v>
      </c>
      <c r="C254" s="12" t="n">
        <v>46009</v>
      </c>
      <c r="D254" s="2" t="s">
        <v>139</v>
      </c>
      <c r="E254" s="2" t="s">
        <v>83</v>
      </c>
      <c r="F254" s="2" t="s">
        <v>84</v>
      </c>
      <c r="G254" s="2" t="s">
        <v>85</v>
      </c>
      <c r="H254" s="2" t="s">
        <v>86</v>
      </c>
      <c r="I254" s="9" t="n">
        <v>3</v>
      </c>
      <c r="J254" s="3" t="n">
        <v>3.9</v>
      </c>
      <c r="K254" s="3" t="n">
        <v>11.7</v>
      </c>
      <c r="L254" s="4" t="n">
        <v>0</v>
      </c>
      <c r="M254" s="3" t="n">
        <v>0</v>
      </c>
      <c r="N254" s="3" t="n">
        <v>1.75</v>
      </c>
      <c r="O254" s="3" t="n">
        <f aca="false">K254-M254-N254</f>
        <v>9.95</v>
      </c>
      <c r="P254" s="4" t="n">
        <v>0.1</v>
      </c>
      <c r="Q254" s="3" t="n">
        <v>9.05</v>
      </c>
      <c r="R254" s="3" t="n">
        <f aca="false">O254-Q254</f>
        <v>0.899999999999999</v>
      </c>
      <c r="S254" s="3" t="n">
        <v>7.5</v>
      </c>
      <c r="T254" s="3" t="n">
        <f aca="false">Q254-S254</f>
        <v>1.55</v>
      </c>
      <c r="U254" s="4" t="n">
        <f aca="false">IF(Q254=0,0,T254/Q254)</f>
        <v>0.171270718232044</v>
      </c>
      <c r="V254" s="2" t="s">
        <v>126</v>
      </c>
      <c r="W254" s="2" t="s">
        <v>177</v>
      </c>
      <c r="X254" s="2" t="s">
        <v>132</v>
      </c>
    </row>
    <row r="255" customFormat="false" ht="15" hidden="false" customHeight="false" outlineLevel="0" collapsed="false">
      <c r="A255" s="5" t="n">
        <v>254</v>
      </c>
      <c r="B255" s="5" t="s">
        <v>340</v>
      </c>
      <c r="C255" s="13" t="n">
        <v>46009</v>
      </c>
      <c r="D255" s="5" t="s">
        <v>139</v>
      </c>
      <c r="E255" s="5" t="s">
        <v>69</v>
      </c>
      <c r="F255" s="5" t="s">
        <v>70</v>
      </c>
      <c r="G255" s="5" t="s">
        <v>71</v>
      </c>
      <c r="H255" s="5" t="s">
        <v>72</v>
      </c>
      <c r="I255" s="11" t="n">
        <v>1</v>
      </c>
      <c r="J255" s="6" t="n">
        <v>22.9</v>
      </c>
      <c r="K255" s="6" t="n">
        <v>22.9</v>
      </c>
      <c r="L255" s="7" t="n">
        <v>0</v>
      </c>
      <c r="M255" s="6" t="n">
        <v>0</v>
      </c>
      <c r="N255" s="6" t="n">
        <v>3.44</v>
      </c>
      <c r="O255" s="6" t="n">
        <f aca="false">K255-M255-N255</f>
        <v>19.46</v>
      </c>
      <c r="P255" s="7" t="n">
        <v>0.21</v>
      </c>
      <c r="Q255" s="6" t="n">
        <v>16.08</v>
      </c>
      <c r="R255" s="6" t="n">
        <f aca="false">O255-Q255</f>
        <v>3.38</v>
      </c>
      <c r="S255" s="6" t="n">
        <v>8</v>
      </c>
      <c r="T255" s="6" t="n">
        <f aca="false">Q255-S255</f>
        <v>8.08</v>
      </c>
      <c r="U255" s="7" t="n">
        <f aca="false">IF(Q255=0,0,T255/Q255)</f>
        <v>0.502487562189055</v>
      </c>
      <c r="V255" s="5" t="s">
        <v>126</v>
      </c>
      <c r="W255" s="5" t="s">
        <v>177</v>
      </c>
      <c r="X255" s="5" t="s">
        <v>132</v>
      </c>
    </row>
    <row r="256" customFormat="false" ht="15" hidden="false" customHeight="false" outlineLevel="0" collapsed="false">
      <c r="A256" s="2" t="n">
        <v>255</v>
      </c>
      <c r="B256" s="2" t="s">
        <v>340</v>
      </c>
      <c r="C256" s="12" t="n">
        <v>46009</v>
      </c>
      <c r="D256" s="2" t="s">
        <v>139</v>
      </c>
      <c r="E256" s="2" t="s">
        <v>26</v>
      </c>
      <c r="F256" s="2" t="s">
        <v>27</v>
      </c>
      <c r="G256" s="2" t="s">
        <v>22</v>
      </c>
      <c r="H256" s="2" t="s">
        <v>23</v>
      </c>
      <c r="I256" s="9" t="n">
        <v>1</v>
      </c>
      <c r="J256" s="3" t="n">
        <v>79.9</v>
      </c>
      <c r="K256" s="3" t="n">
        <v>79.9</v>
      </c>
      <c r="L256" s="4" t="n">
        <v>0</v>
      </c>
      <c r="M256" s="3" t="n">
        <v>0</v>
      </c>
      <c r="N256" s="3" t="n">
        <v>11.99</v>
      </c>
      <c r="O256" s="3" t="n">
        <f aca="false">K256-M256-N256</f>
        <v>67.91</v>
      </c>
      <c r="P256" s="4" t="n">
        <v>0.21</v>
      </c>
      <c r="Q256" s="3" t="n">
        <v>56.12</v>
      </c>
      <c r="R256" s="3" t="n">
        <f aca="false">O256-Q256</f>
        <v>11.79</v>
      </c>
      <c r="S256" s="3" t="n">
        <v>34</v>
      </c>
      <c r="T256" s="3" t="n">
        <f aca="false">Q256-S256</f>
        <v>22.12</v>
      </c>
      <c r="U256" s="4" t="n">
        <f aca="false">IF(Q256=0,0,T256/Q256)</f>
        <v>0.394155381325731</v>
      </c>
      <c r="V256" s="2" t="s">
        <v>126</v>
      </c>
      <c r="W256" s="2" t="s">
        <v>177</v>
      </c>
      <c r="X256" s="2" t="s">
        <v>132</v>
      </c>
    </row>
    <row r="257" customFormat="false" ht="15" hidden="false" customHeight="false" outlineLevel="0" collapsed="false">
      <c r="A257" s="5" t="n">
        <v>256</v>
      </c>
      <c r="B257" s="5" t="s">
        <v>341</v>
      </c>
      <c r="C257" s="13" t="n">
        <v>46009</v>
      </c>
      <c r="D257" s="5" t="s">
        <v>158</v>
      </c>
      <c r="E257" s="5" t="s">
        <v>69</v>
      </c>
      <c r="F257" s="5" t="s">
        <v>70</v>
      </c>
      <c r="G257" s="5" t="s">
        <v>71</v>
      </c>
      <c r="H257" s="5" t="s">
        <v>72</v>
      </c>
      <c r="I257" s="11" t="n">
        <v>2</v>
      </c>
      <c r="J257" s="6" t="n">
        <v>22.9</v>
      </c>
      <c r="K257" s="6" t="n">
        <v>45.8</v>
      </c>
      <c r="L257" s="7" t="n">
        <v>0</v>
      </c>
      <c r="M257" s="6" t="n">
        <v>0</v>
      </c>
      <c r="N257" s="6" t="n">
        <v>9.16</v>
      </c>
      <c r="O257" s="6" t="n">
        <f aca="false">K257-M257-N257</f>
        <v>36.64</v>
      </c>
      <c r="P257" s="7" t="n">
        <v>0.21</v>
      </c>
      <c r="Q257" s="6" t="n">
        <v>30.28</v>
      </c>
      <c r="R257" s="6" t="n">
        <f aca="false">O257-Q257</f>
        <v>6.36</v>
      </c>
      <c r="S257" s="6" t="n">
        <v>16</v>
      </c>
      <c r="T257" s="6" t="n">
        <f aca="false">Q257-S257</f>
        <v>14.28</v>
      </c>
      <c r="U257" s="7" t="n">
        <f aca="false">IF(Q257=0,0,T257/Q257)</f>
        <v>0.471598414795244</v>
      </c>
      <c r="V257" s="5" t="s">
        <v>126</v>
      </c>
      <c r="W257" s="5" t="s">
        <v>156</v>
      </c>
      <c r="X257" s="5" t="s">
        <v>132</v>
      </c>
    </row>
    <row r="258" customFormat="false" ht="15" hidden="false" customHeight="false" outlineLevel="0" collapsed="false">
      <c r="A258" s="2" t="n">
        <v>257</v>
      </c>
      <c r="B258" s="2" t="s">
        <v>342</v>
      </c>
      <c r="C258" s="12" t="n">
        <v>46009</v>
      </c>
      <c r="D258" s="2" t="s">
        <v>223</v>
      </c>
      <c r="E258" s="2" t="s">
        <v>77</v>
      </c>
      <c r="F258" s="2" t="s">
        <v>78</v>
      </c>
      <c r="G258" s="2" t="s">
        <v>79</v>
      </c>
      <c r="H258" s="2" t="s">
        <v>80</v>
      </c>
      <c r="I258" s="9" t="n">
        <v>1</v>
      </c>
      <c r="J258" s="3" t="n">
        <v>59.9</v>
      </c>
      <c r="K258" s="3" t="n">
        <v>59.9</v>
      </c>
      <c r="L258" s="4" t="n">
        <v>0</v>
      </c>
      <c r="M258" s="3" t="n">
        <v>0</v>
      </c>
      <c r="N258" s="3" t="n">
        <v>11.98</v>
      </c>
      <c r="O258" s="3" t="n">
        <f aca="false">K258-M258-N258</f>
        <v>47.92</v>
      </c>
      <c r="P258" s="4" t="n">
        <v>0.21</v>
      </c>
      <c r="Q258" s="3" t="n">
        <v>39.6</v>
      </c>
      <c r="R258" s="3" t="n">
        <f aca="false">O258-Q258</f>
        <v>8.32</v>
      </c>
      <c r="S258" s="3" t="n">
        <v>24</v>
      </c>
      <c r="T258" s="3" t="n">
        <f aca="false">Q258-S258</f>
        <v>15.6</v>
      </c>
      <c r="U258" s="4" t="n">
        <f aca="false">IF(Q258=0,0,T258/Q258)</f>
        <v>0.393939393939394</v>
      </c>
      <c r="V258" s="2" t="s">
        <v>148</v>
      </c>
      <c r="W258" s="2" t="s">
        <v>136</v>
      </c>
      <c r="X258" s="2" t="s">
        <v>132</v>
      </c>
    </row>
    <row r="259" customFormat="false" ht="15" hidden="false" customHeight="false" outlineLevel="0" collapsed="false">
      <c r="A259" s="5" t="n">
        <v>258</v>
      </c>
      <c r="B259" s="5" t="s">
        <v>343</v>
      </c>
      <c r="C259" s="13" t="n">
        <v>46011</v>
      </c>
      <c r="D259" s="5" t="s">
        <v>179</v>
      </c>
      <c r="E259" s="5" t="s">
        <v>57</v>
      </c>
      <c r="F259" s="5" t="s">
        <v>58</v>
      </c>
      <c r="G259" s="5" t="s">
        <v>59</v>
      </c>
      <c r="H259" s="5" t="s">
        <v>60</v>
      </c>
      <c r="I259" s="11" t="n">
        <v>1</v>
      </c>
      <c r="J259" s="6" t="n">
        <v>39.9</v>
      </c>
      <c r="K259" s="6" t="n">
        <v>39.9</v>
      </c>
      <c r="L259" s="7" t="n">
        <v>0</v>
      </c>
      <c r="M259" s="6" t="n">
        <v>0</v>
      </c>
      <c r="N259" s="6" t="n">
        <v>0</v>
      </c>
      <c r="O259" s="6" t="n">
        <f aca="false">K259-M259-N259</f>
        <v>39.9</v>
      </c>
      <c r="P259" s="7" t="n">
        <v>0.21</v>
      </c>
      <c r="Q259" s="6" t="n">
        <v>32.98</v>
      </c>
      <c r="R259" s="6" t="n">
        <f aca="false">O259-Q259</f>
        <v>6.92</v>
      </c>
      <c r="S259" s="6" t="n">
        <v>16</v>
      </c>
      <c r="T259" s="6" t="n">
        <f aca="false">Q259-S259</f>
        <v>16.98</v>
      </c>
      <c r="U259" s="7" t="n">
        <f aca="false">IF(Q259=0,0,T259/Q259)</f>
        <v>0.514857489387508</v>
      </c>
      <c r="V259" s="5" t="s">
        <v>138</v>
      </c>
      <c r="W259" s="5" t="s">
        <v>156</v>
      </c>
      <c r="X259" s="5" t="s">
        <v>185</v>
      </c>
    </row>
    <row r="260" customFormat="false" ht="15" hidden="false" customHeight="false" outlineLevel="0" collapsed="false">
      <c r="A260" s="2" t="n">
        <v>259</v>
      </c>
      <c r="B260" s="2" t="s">
        <v>344</v>
      </c>
      <c r="C260" s="12" t="n">
        <v>46011</v>
      </c>
      <c r="D260" s="2" t="s">
        <v>158</v>
      </c>
      <c r="E260" s="2" t="s">
        <v>45</v>
      </c>
      <c r="F260" s="2" t="s">
        <v>46</v>
      </c>
      <c r="G260" s="2" t="s">
        <v>38</v>
      </c>
      <c r="H260" s="2" t="s">
        <v>39</v>
      </c>
      <c r="I260" s="9" t="n">
        <v>2</v>
      </c>
      <c r="J260" s="3" t="n">
        <v>79.9</v>
      </c>
      <c r="K260" s="3" t="n">
        <v>159.8</v>
      </c>
      <c r="L260" s="4" t="n">
        <v>0</v>
      </c>
      <c r="M260" s="3" t="n">
        <v>0</v>
      </c>
      <c r="N260" s="3" t="n">
        <v>23.97</v>
      </c>
      <c r="O260" s="3" t="n">
        <f aca="false">K260-M260-N260</f>
        <v>135.83</v>
      </c>
      <c r="P260" s="4" t="n">
        <v>0.21</v>
      </c>
      <c r="Q260" s="3" t="n">
        <v>112.26</v>
      </c>
      <c r="R260" s="3" t="n">
        <f aca="false">O260-Q260</f>
        <v>23.57</v>
      </c>
      <c r="S260" s="3" t="n">
        <v>64</v>
      </c>
      <c r="T260" s="3" t="n">
        <f aca="false">Q260-S260</f>
        <v>48.26</v>
      </c>
      <c r="U260" s="4" t="n">
        <f aca="false">IF(Q260=0,0,T260/Q260)</f>
        <v>0.429894886869767</v>
      </c>
      <c r="V260" s="2" t="s">
        <v>126</v>
      </c>
      <c r="W260" s="2" t="s">
        <v>136</v>
      </c>
      <c r="X260" s="2" t="s">
        <v>132</v>
      </c>
    </row>
    <row r="261" customFormat="false" ht="15" hidden="false" customHeight="false" outlineLevel="0" collapsed="false">
      <c r="A261" s="5" t="n">
        <v>260</v>
      </c>
      <c r="B261" s="5" t="s">
        <v>344</v>
      </c>
      <c r="C261" s="13" t="n">
        <v>46011</v>
      </c>
      <c r="D261" s="5" t="s">
        <v>158</v>
      </c>
      <c r="E261" s="5" t="s">
        <v>42</v>
      </c>
      <c r="F261" s="5" t="s">
        <v>43</v>
      </c>
      <c r="G261" s="5" t="s">
        <v>44</v>
      </c>
      <c r="H261" s="5" t="s">
        <v>39</v>
      </c>
      <c r="I261" s="11" t="n">
        <v>1</v>
      </c>
      <c r="J261" s="6" t="n">
        <v>24.9</v>
      </c>
      <c r="K261" s="6" t="n">
        <v>24.9</v>
      </c>
      <c r="L261" s="7" t="n">
        <v>0</v>
      </c>
      <c r="M261" s="6" t="n">
        <v>0</v>
      </c>
      <c r="N261" s="6" t="n">
        <v>3.73</v>
      </c>
      <c r="O261" s="6" t="n">
        <f aca="false">K261-M261-N261</f>
        <v>21.17</v>
      </c>
      <c r="P261" s="7" t="n">
        <v>0.21</v>
      </c>
      <c r="Q261" s="6" t="n">
        <v>17.5</v>
      </c>
      <c r="R261" s="6" t="n">
        <f aca="false">O261-Q261</f>
        <v>3.67</v>
      </c>
      <c r="S261" s="6" t="n">
        <v>8.5</v>
      </c>
      <c r="T261" s="6" t="n">
        <f aca="false">Q261-S261</f>
        <v>9</v>
      </c>
      <c r="U261" s="7" t="n">
        <f aca="false">IF(Q261=0,0,T261/Q261)</f>
        <v>0.514285714285714</v>
      </c>
      <c r="V261" s="5" t="s">
        <v>126</v>
      </c>
      <c r="W261" s="5" t="s">
        <v>136</v>
      </c>
      <c r="X261" s="5" t="s">
        <v>132</v>
      </c>
    </row>
    <row r="262" customFormat="false" ht="15" hidden="false" customHeight="false" outlineLevel="0" collapsed="false">
      <c r="A262" s="2" t="n">
        <v>261</v>
      </c>
      <c r="B262" s="2" t="s">
        <v>345</v>
      </c>
      <c r="C262" s="12" t="n">
        <v>46012</v>
      </c>
      <c r="D262" s="2" t="s">
        <v>217</v>
      </c>
      <c r="E262" s="2" t="s">
        <v>83</v>
      </c>
      <c r="F262" s="2" t="s">
        <v>84</v>
      </c>
      <c r="G262" s="2" t="s">
        <v>85</v>
      </c>
      <c r="H262" s="2" t="s">
        <v>86</v>
      </c>
      <c r="I262" s="9" t="n">
        <v>8</v>
      </c>
      <c r="J262" s="3" t="n">
        <v>3.9</v>
      </c>
      <c r="K262" s="3" t="n">
        <v>31.2</v>
      </c>
      <c r="L262" s="4" t="n">
        <v>0</v>
      </c>
      <c r="M262" s="3" t="n">
        <v>0</v>
      </c>
      <c r="N262" s="3" t="n">
        <v>6.24</v>
      </c>
      <c r="O262" s="3" t="n">
        <f aca="false">K262-M262-N262</f>
        <v>24.96</v>
      </c>
      <c r="P262" s="4" t="n">
        <v>0.1</v>
      </c>
      <c r="Q262" s="3" t="n">
        <v>22.69</v>
      </c>
      <c r="R262" s="3" t="n">
        <f aca="false">O262-Q262</f>
        <v>2.27</v>
      </c>
      <c r="S262" s="3" t="n">
        <v>20</v>
      </c>
      <c r="T262" s="3" t="n">
        <f aca="false">Q262-S262</f>
        <v>2.69</v>
      </c>
      <c r="U262" s="4" t="n">
        <f aca="false">IF(Q262=0,0,T262/Q262)</f>
        <v>0.118554429263993</v>
      </c>
      <c r="V262" s="2" t="s">
        <v>126</v>
      </c>
      <c r="W262" s="2" t="s">
        <v>154</v>
      </c>
      <c r="X262" s="2" t="s">
        <v>132</v>
      </c>
    </row>
    <row r="263" customFormat="false" ht="15" hidden="false" customHeight="false" outlineLevel="0" collapsed="false">
      <c r="A263" s="5" t="n">
        <v>262</v>
      </c>
      <c r="B263" s="5" t="s">
        <v>346</v>
      </c>
      <c r="C263" s="13" t="n">
        <v>46012</v>
      </c>
      <c r="D263" s="5" t="s">
        <v>173</v>
      </c>
      <c r="E263" s="5" t="s">
        <v>67</v>
      </c>
      <c r="F263" s="5" t="s">
        <v>68</v>
      </c>
      <c r="G263" s="5" t="s">
        <v>65</v>
      </c>
      <c r="H263" s="5" t="s">
        <v>66</v>
      </c>
      <c r="I263" s="11" t="n">
        <v>2</v>
      </c>
      <c r="J263" s="6" t="n">
        <v>64.9</v>
      </c>
      <c r="K263" s="6" t="n">
        <v>129.8</v>
      </c>
      <c r="L263" s="7" t="n">
        <v>0</v>
      </c>
      <c r="M263" s="6" t="n">
        <v>0</v>
      </c>
      <c r="N263" s="6" t="n">
        <v>0</v>
      </c>
      <c r="O263" s="6" t="n">
        <f aca="false">K263-M263-N263</f>
        <v>129.8</v>
      </c>
      <c r="P263" s="7" t="n">
        <v>0.21</v>
      </c>
      <c r="Q263" s="6" t="n">
        <v>107.27</v>
      </c>
      <c r="R263" s="6" t="n">
        <f aca="false">O263-Q263</f>
        <v>22.53</v>
      </c>
      <c r="S263" s="6" t="n">
        <v>56</v>
      </c>
      <c r="T263" s="6" t="n">
        <f aca="false">Q263-S263</f>
        <v>51.27</v>
      </c>
      <c r="U263" s="7" t="n">
        <f aca="false">IF(Q263=0,0,T263/Q263)</f>
        <v>0.47795282930922</v>
      </c>
      <c r="V263" s="5" t="s">
        <v>172</v>
      </c>
      <c r="W263" s="5" t="s">
        <v>154</v>
      </c>
      <c r="X263" s="5" t="s">
        <v>231</v>
      </c>
    </row>
    <row r="264" customFormat="false" ht="15" hidden="false" customHeight="false" outlineLevel="0" collapsed="false">
      <c r="A264" s="2" t="n">
        <v>263</v>
      </c>
      <c r="B264" s="2" t="s">
        <v>346</v>
      </c>
      <c r="C264" s="12" t="n">
        <v>46012</v>
      </c>
      <c r="D264" s="2" t="s">
        <v>173</v>
      </c>
      <c r="E264" s="2" t="s">
        <v>77</v>
      </c>
      <c r="F264" s="2" t="s">
        <v>78</v>
      </c>
      <c r="G264" s="2" t="s">
        <v>79</v>
      </c>
      <c r="H264" s="2" t="s">
        <v>80</v>
      </c>
      <c r="I264" s="9" t="n">
        <v>4</v>
      </c>
      <c r="J264" s="3" t="n">
        <v>59.9</v>
      </c>
      <c r="K264" s="3" t="n">
        <v>239.6</v>
      </c>
      <c r="L264" s="4" t="n">
        <v>0</v>
      </c>
      <c r="M264" s="3" t="n">
        <v>0</v>
      </c>
      <c r="N264" s="3" t="n">
        <v>0</v>
      </c>
      <c r="O264" s="3" t="n">
        <f aca="false">K264-M264-N264</f>
        <v>239.6</v>
      </c>
      <c r="P264" s="4" t="n">
        <v>0.21</v>
      </c>
      <c r="Q264" s="3" t="n">
        <v>198.02</v>
      </c>
      <c r="R264" s="3" t="n">
        <f aca="false">O264-Q264</f>
        <v>41.58</v>
      </c>
      <c r="S264" s="3" t="n">
        <v>96</v>
      </c>
      <c r="T264" s="3" t="n">
        <f aca="false">Q264-S264</f>
        <v>102.02</v>
      </c>
      <c r="U264" s="4" t="n">
        <f aca="false">IF(Q264=0,0,T264/Q264)</f>
        <v>0.515200484799515</v>
      </c>
      <c r="V264" s="2" t="s">
        <v>172</v>
      </c>
      <c r="W264" s="2" t="s">
        <v>154</v>
      </c>
      <c r="X264" s="2" t="s">
        <v>231</v>
      </c>
    </row>
    <row r="265" customFormat="false" ht="15" hidden="false" customHeight="false" outlineLevel="0" collapsed="false">
      <c r="A265" s="5" t="n">
        <v>264</v>
      </c>
      <c r="B265" s="5" t="s">
        <v>347</v>
      </c>
      <c r="C265" s="13" t="n">
        <v>46013</v>
      </c>
      <c r="D265" s="5" t="s">
        <v>158</v>
      </c>
      <c r="E265" s="5" t="s">
        <v>77</v>
      </c>
      <c r="F265" s="5" t="s">
        <v>78</v>
      </c>
      <c r="G265" s="5" t="s">
        <v>79</v>
      </c>
      <c r="H265" s="5" t="s">
        <v>80</v>
      </c>
      <c r="I265" s="11" t="n">
        <v>1</v>
      </c>
      <c r="J265" s="6" t="n">
        <v>59.9</v>
      </c>
      <c r="K265" s="6" t="n">
        <v>59.9</v>
      </c>
      <c r="L265" s="7" t="n">
        <v>0</v>
      </c>
      <c r="M265" s="6" t="n">
        <v>0</v>
      </c>
      <c r="N265" s="6" t="n">
        <v>11.98</v>
      </c>
      <c r="O265" s="6" t="n">
        <f aca="false">K265-M265-N265</f>
        <v>47.92</v>
      </c>
      <c r="P265" s="7" t="n">
        <v>0.21</v>
      </c>
      <c r="Q265" s="6" t="n">
        <v>39.6</v>
      </c>
      <c r="R265" s="6" t="n">
        <f aca="false">O265-Q265</f>
        <v>8.32</v>
      </c>
      <c r="S265" s="6" t="n">
        <v>24</v>
      </c>
      <c r="T265" s="6" t="n">
        <f aca="false">Q265-S265</f>
        <v>15.6</v>
      </c>
      <c r="U265" s="7" t="n">
        <f aca="false">IF(Q265=0,0,T265/Q265)</f>
        <v>0.393939393939394</v>
      </c>
      <c r="V265" s="5" t="s">
        <v>126</v>
      </c>
      <c r="W265" s="5" t="s">
        <v>154</v>
      </c>
      <c r="X265" s="5" t="s">
        <v>132</v>
      </c>
    </row>
    <row r="266" customFormat="false" ht="15" hidden="false" customHeight="false" outlineLevel="0" collapsed="false">
      <c r="A266" s="2" t="n">
        <v>265</v>
      </c>
      <c r="B266" s="2" t="s">
        <v>348</v>
      </c>
      <c r="C266" s="12" t="n">
        <v>46013</v>
      </c>
      <c r="D266" s="2" t="s">
        <v>217</v>
      </c>
      <c r="E266" s="2" t="s">
        <v>24</v>
      </c>
      <c r="F266" s="2" t="s">
        <v>25</v>
      </c>
      <c r="G266" s="2" t="s">
        <v>22</v>
      </c>
      <c r="H266" s="2" t="s">
        <v>23</v>
      </c>
      <c r="I266" s="9" t="n">
        <v>1</v>
      </c>
      <c r="J266" s="3" t="n">
        <v>24.9</v>
      </c>
      <c r="K266" s="3" t="n">
        <v>24.9</v>
      </c>
      <c r="L266" s="4" t="n">
        <v>0</v>
      </c>
      <c r="M266" s="3" t="n">
        <v>0</v>
      </c>
      <c r="N266" s="3" t="n">
        <v>0</v>
      </c>
      <c r="O266" s="3" t="n">
        <f aca="false">K266-M266-N266</f>
        <v>24.9</v>
      </c>
      <c r="P266" s="4" t="n">
        <v>0.21</v>
      </c>
      <c r="Q266" s="3" t="n">
        <v>20.58</v>
      </c>
      <c r="R266" s="3" t="n">
        <f aca="false">O266-Q266</f>
        <v>4.32</v>
      </c>
      <c r="S266" s="3" t="n">
        <v>9.8</v>
      </c>
      <c r="T266" s="3" t="n">
        <f aca="false">Q266-S266</f>
        <v>10.78</v>
      </c>
      <c r="U266" s="4" t="n">
        <f aca="false">IF(Q266=0,0,T266/Q266)</f>
        <v>0.523809523809524</v>
      </c>
      <c r="V266" s="2" t="s">
        <v>148</v>
      </c>
      <c r="W266" s="2" t="s">
        <v>154</v>
      </c>
      <c r="X266" s="2" t="s">
        <v>132</v>
      </c>
    </row>
    <row r="267" customFormat="false" ht="15" hidden="false" customHeight="false" outlineLevel="0" collapsed="false">
      <c r="A267" s="5" t="n">
        <v>266</v>
      </c>
      <c r="B267" s="5" t="s">
        <v>348</v>
      </c>
      <c r="C267" s="13" t="n">
        <v>46013</v>
      </c>
      <c r="D267" s="5" t="s">
        <v>217</v>
      </c>
      <c r="E267" s="5" t="s">
        <v>47</v>
      </c>
      <c r="F267" s="5" t="s">
        <v>48</v>
      </c>
      <c r="G267" s="5" t="s">
        <v>44</v>
      </c>
      <c r="H267" s="5" t="s">
        <v>39</v>
      </c>
      <c r="I267" s="11" t="n">
        <v>2</v>
      </c>
      <c r="J267" s="6" t="n">
        <v>34.9</v>
      </c>
      <c r="K267" s="6" t="n">
        <v>69.8</v>
      </c>
      <c r="L267" s="7" t="n">
        <v>0</v>
      </c>
      <c r="M267" s="6" t="n">
        <v>0</v>
      </c>
      <c r="N267" s="6" t="n">
        <v>0</v>
      </c>
      <c r="O267" s="6" t="n">
        <f aca="false">K267-M267-N267</f>
        <v>69.8</v>
      </c>
      <c r="P267" s="7" t="n">
        <v>0.21</v>
      </c>
      <c r="Q267" s="6" t="n">
        <v>57.69</v>
      </c>
      <c r="R267" s="6" t="n">
        <f aca="false">O267-Q267</f>
        <v>12.11</v>
      </c>
      <c r="S267" s="6" t="n">
        <v>28</v>
      </c>
      <c r="T267" s="6" t="n">
        <f aca="false">Q267-S267</f>
        <v>29.69</v>
      </c>
      <c r="U267" s="7" t="n">
        <f aca="false">IF(Q267=0,0,T267/Q267)</f>
        <v>0.514647252556769</v>
      </c>
      <c r="V267" s="5" t="s">
        <v>148</v>
      </c>
      <c r="W267" s="5" t="s">
        <v>154</v>
      </c>
      <c r="X267" s="5" t="s">
        <v>132</v>
      </c>
    </row>
    <row r="268" customFormat="false" ht="15" hidden="false" customHeight="false" outlineLevel="0" collapsed="false">
      <c r="A268" s="2" t="n">
        <v>267</v>
      </c>
      <c r="B268" s="2" t="s">
        <v>348</v>
      </c>
      <c r="C268" s="12" t="n">
        <v>46013</v>
      </c>
      <c r="D268" s="2" t="s">
        <v>217</v>
      </c>
      <c r="E268" s="2" t="s">
        <v>53</v>
      </c>
      <c r="F268" s="2" t="s">
        <v>54</v>
      </c>
      <c r="G268" s="2" t="s">
        <v>51</v>
      </c>
      <c r="H268" s="2" t="s">
        <v>52</v>
      </c>
      <c r="I268" s="9" t="n">
        <v>3</v>
      </c>
      <c r="J268" s="3" t="n">
        <v>59.9</v>
      </c>
      <c r="K268" s="3" t="n">
        <v>179.7</v>
      </c>
      <c r="L268" s="4" t="n">
        <v>0.1</v>
      </c>
      <c r="M268" s="3" t="n">
        <v>17.97</v>
      </c>
      <c r="N268" s="3" t="n">
        <v>0</v>
      </c>
      <c r="O268" s="3" t="n">
        <f aca="false">K268-M268-N268</f>
        <v>161.73</v>
      </c>
      <c r="P268" s="4" t="n">
        <v>0.21</v>
      </c>
      <c r="Q268" s="3" t="n">
        <v>133.66</v>
      </c>
      <c r="R268" s="3" t="n">
        <f aca="false">O268-Q268</f>
        <v>28.07</v>
      </c>
      <c r="S268" s="3" t="n">
        <v>78</v>
      </c>
      <c r="T268" s="3" t="n">
        <f aca="false">Q268-S268</f>
        <v>55.66</v>
      </c>
      <c r="U268" s="4" t="n">
        <f aca="false">IF(Q268=0,0,T268/Q268)</f>
        <v>0.416429747119557</v>
      </c>
      <c r="V268" s="2" t="s">
        <v>148</v>
      </c>
      <c r="W268" s="2" t="s">
        <v>154</v>
      </c>
      <c r="X268" s="2" t="s">
        <v>132</v>
      </c>
    </row>
    <row r="269" customFormat="false" ht="15" hidden="false" customHeight="false" outlineLevel="0" collapsed="false">
      <c r="A269" s="5" t="n">
        <v>268</v>
      </c>
      <c r="B269" s="5" t="s">
        <v>349</v>
      </c>
      <c r="C269" s="13" t="n">
        <v>46013</v>
      </c>
      <c r="D269" s="5" t="s">
        <v>202</v>
      </c>
      <c r="E269" s="5" t="s">
        <v>73</v>
      </c>
      <c r="F269" s="5" t="s">
        <v>74</v>
      </c>
      <c r="G269" s="5" t="s">
        <v>71</v>
      </c>
      <c r="H269" s="5" t="s">
        <v>72</v>
      </c>
      <c r="I269" s="11" t="n">
        <v>3</v>
      </c>
      <c r="J269" s="6" t="n">
        <v>69.9</v>
      </c>
      <c r="K269" s="6" t="n">
        <v>209.7</v>
      </c>
      <c r="L269" s="7" t="n">
        <v>0</v>
      </c>
      <c r="M269" s="6" t="n">
        <v>0</v>
      </c>
      <c r="N269" s="6" t="n">
        <v>0</v>
      </c>
      <c r="O269" s="6" t="n">
        <f aca="false">K269-M269-N269</f>
        <v>209.7</v>
      </c>
      <c r="P269" s="7" t="n">
        <v>0.21</v>
      </c>
      <c r="Q269" s="6" t="n">
        <v>173.31</v>
      </c>
      <c r="R269" s="6" t="n">
        <f aca="false">O269-Q269</f>
        <v>36.39</v>
      </c>
      <c r="S269" s="6" t="n">
        <v>87</v>
      </c>
      <c r="T269" s="6" t="n">
        <f aca="false">Q269-S269</f>
        <v>86.31</v>
      </c>
      <c r="U269" s="7" t="n">
        <f aca="false">IF(Q269=0,0,T269/Q269)</f>
        <v>0.498009347412152</v>
      </c>
      <c r="V269" s="5" t="s">
        <v>126</v>
      </c>
      <c r="W269" s="5" t="s">
        <v>136</v>
      </c>
      <c r="X269" s="5" t="s">
        <v>132</v>
      </c>
    </row>
    <row r="270" customFormat="false" ht="15" hidden="false" customHeight="false" outlineLevel="0" collapsed="false">
      <c r="A270" s="2" t="n">
        <v>269</v>
      </c>
      <c r="B270" s="2" t="s">
        <v>350</v>
      </c>
      <c r="C270" s="12" t="n">
        <v>46013</v>
      </c>
      <c r="D270" s="2" t="s">
        <v>127</v>
      </c>
      <c r="E270" s="2" t="s">
        <v>96</v>
      </c>
      <c r="F270" s="2" t="s">
        <v>97</v>
      </c>
      <c r="G270" s="2" t="s">
        <v>94</v>
      </c>
      <c r="H270" s="2" t="s">
        <v>95</v>
      </c>
      <c r="I270" s="9" t="n">
        <v>1</v>
      </c>
      <c r="J270" s="3" t="n">
        <v>7.99</v>
      </c>
      <c r="K270" s="3" t="n">
        <v>7.99</v>
      </c>
      <c r="L270" s="4" t="n">
        <v>0</v>
      </c>
      <c r="M270" s="3" t="n">
        <v>0</v>
      </c>
      <c r="N270" s="3" t="n">
        <v>1.2</v>
      </c>
      <c r="O270" s="3" t="n">
        <f aca="false">K270-M270-N270</f>
        <v>6.79</v>
      </c>
      <c r="P270" s="4" t="n">
        <v>0.1</v>
      </c>
      <c r="Q270" s="3" t="n">
        <v>6.17</v>
      </c>
      <c r="R270" s="3" t="n">
        <f aca="false">O270-Q270</f>
        <v>0.62</v>
      </c>
      <c r="S270" s="3" t="n">
        <v>3.4</v>
      </c>
      <c r="T270" s="3" t="n">
        <f aca="false">Q270-S270</f>
        <v>2.77</v>
      </c>
      <c r="U270" s="4" t="n">
        <f aca="false">IF(Q270=0,0,T270/Q270)</f>
        <v>0.448946515397083</v>
      </c>
      <c r="V270" s="2" t="s">
        <v>126</v>
      </c>
      <c r="W270" s="2" t="s">
        <v>154</v>
      </c>
      <c r="X270" s="2" t="s">
        <v>132</v>
      </c>
    </row>
    <row r="271" customFormat="false" ht="15" hidden="false" customHeight="false" outlineLevel="0" collapsed="false">
      <c r="A271" s="5" t="n">
        <v>270</v>
      </c>
      <c r="B271" s="5" t="s">
        <v>351</v>
      </c>
      <c r="C271" s="13" t="n">
        <v>46014</v>
      </c>
      <c r="D271" s="5" t="s">
        <v>149</v>
      </c>
      <c r="E271" s="5" t="s">
        <v>16</v>
      </c>
      <c r="F271" s="5" t="s">
        <v>17</v>
      </c>
      <c r="G271" s="5" t="s">
        <v>13</v>
      </c>
      <c r="H271" s="5" t="s">
        <v>14</v>
      </c>
      <c r="I271" s="11" t="n">
        <v>2</v>
      </c>
      <c r="J271" s="6" t="n">
        <v>54.9</v>
      </c>
      <c r="K271" s="6" t="n">
        <v>109.8</v>
      </c>
      <c r="L271" s="7" t="n">
        <v>0</v>
      </c>
      <c r="M271" s="6" t="n">
        <v>0</v>
      </c>
      <c r="N271" s="6" t="n">
        <v>21.96</v>
      </c>
      <c r="O271" s="6" t="n">
        <f aca="false">K271-M271-N271</f>
        <v>87.84</v>
      </c>
      <c r="P271" s="7" t="n">
        <v>0.21</v>
      </c>
      <c r="Q271" s="6" t="n">
        <v>72.6</v>
      </c>
      <c r="R271" s="6" t="n">
        <f aca="false">O271-Q271</f>
        <v>15.24</v>
      </c>
      <c r="S271" s="6" t="n">
        <v>44</v>
      </c>
      <c r="T271" s="6" t="n">
        <f aca="false">Q271-S271</f>
        <v>28.6</v>
      </c>
      <c r="U271" s="7" t="n">
        <f aca="false">IF(Q271=0,0,T271/Q271)</f>
        <v>0.393939393939394</v>
      </c>
      <c r="V271" s="5" t="s">
        <v>126</v>
      </c>
      <c r="W271" s="5" t="s">
        <v>136</v>
      </c>
      <c r="X271" s="5" t="s">
        <v>132</v>
      </c>
    </row>
    <row r="272" customFormat="false" ht="15" hidden="false" customHeight="false" outlineLevel="0" collapsed="false">
      <c r="A272" s="2" t="n">
        <v>271</v>
      </c>
      <c r="B272" s="2" t="s">
        <v>352</v>
      </c>
      <c r="C272" s="12" t="n">
        <v>46014</v>
      </c>
      <c r="D272" s="2" t="s">
        <v>158</v>
      </c>
      <c r="E272" s="2" t="s">
        <v>61</v>
      </c>
      <c r="F272" s="2" t="s">
        <v>62</v>
      </c>
      <c r="G272" s="2" t="s">
        <v>59</v>
      </c>
      <c r="H272" s="2" t="s">
        <v>60</v>
      </c>
      <c r="I272" s="9" t="n">
        <v>1</v>
      </c>
      <c r="J272" s="3" t="n">
        <v>18.9</v>
      </c>
      <c r="K272" s="3" t="n">
        <v>18.9</v>
      </c>
      <c r="L272" s="4" t="n">
        <v>0</v>
      </c>
      <c r="M272" s="3" t="n">
        <v>0</v>
      </c>
      <c r="N272" s="3" t="n">
        <v>0</v>
      </c>
      <c r="O272" s="3" t="n">
        <f aca="false">K272-M272-N272</f>
        <v>18.9</v>
      </c>
      <c r="P272" s="4" t="n">
        <v>0.21</v>
      </c>
      <c r="Q272" s="3" t="n">
        <v>15.62</v>
      </c>
      <c r="R272" s="3" t="n">
        <f aca="false">O272-Q272</f>
        <v>3.28</v>
      </c>
      <c r="S272" s="3" t="n">
        <v>6.5</v>
      </c>
      <c r="T272" s="3" t="n">
        <f aca="false">Q272-S272</f>
        <v>9.12</v>
      </c>
      <c r="U272" s="4" t="n">
        <f aca="false">IF(Q272=0,0,T272/Q272)</f>
        <v>0.583866837387964</v>
      </c>
      <c r="V272" s="2" t="s">
        <v>126</v>
      </c>
      <c r="W272" s="2" t="s">
        <v>156</v>
      </c>
      <c r="X272" s="2" t="s">
        <v>185</v>
      </c>
    </row>
    <row r="273" customFormat="false" ht="15" hidden="false" customHeight="false" outlineLevel="0" collapsed="false">
      <c r="A273" s="5" t="n">
        <v>272</v>
      </c>
      <c r="B273" s="5" t="s">
        <v>353</v>
      </c>
      <c r="C273" s="13" t="n">
        <v>46015</v>
      </c>
      <c r="D273" s="5" t="s">
        <v>202</v>
      </c>
      <c r="E273" s="5" t="s">
        <v>28</v>
      </c>
      <c r="F273" s="5" t="s">
        <v>29</v>
      </c>
      <c r="G273" s="5" t="s">
        <v>30</v>
      </c>
      <c r="H273" s="5" t="s">
        <v>23</v>
      </c>
      <c r="I273" s="11" t="n">
        <v>1</v>
      </c>
      <c r="J273" s="6" t="n">
        <v>289</v>
      </c>
      <c r="K273" s="6" t="n">
        <v>289</v>
      </c>
      <c r="L273" s="7" t="n">
        <v>0</v>
      </c>
      <c r="M273" s="6" t="n">
        <v>0</v>
      </c>
      <c r="N273" s="6" t="n">
        <v>57.8</v>
      </c>
      <c r="O273" s="6" t="n">
        <f aca="false">K273-M273-N273</f>
        <v>231.2</v>
      </c>
      <c r="P273" s="7" t="n">
        <v>0.21</v>
      </c>
      <c r="Q273" s="6" t="n">
        <v>191.07</v>
      </c>
      <c r="R273" s="6" t="n">
        <f aca="false">O273-Q273</f>
        <v>40.13</v>
      </c>
      <c r="S273" s="6" t="n">
        <v>140</v>
      </c>
      <c r="T273" s="6" t="n">
        <f aca="false">Q273-S273</f>
        <v>51.07</v>
      </c>
      <c r="U273" s="7" t="n">
        <f aca="false">IF(Q273=0,0,T273/Q273)</f>
        <v>0.267284241377506</v>
      </c>
      <c r="V273" s="5" t="s">
        <v>148</v>
      </c>
      <c r="W273" s="5" t="s">
        <v>154</v>
      </c>
      <c r="X273" s="5" t="s">
        <v>132</v>
      </c>
    </row>
    <row r="274" customFormat="false" ht="15" hidden="false" customHeight="false" outlineLevel="0" collapsed="false">
      <c r="A274" s="2" t="n">
        <v>273</v>
      </c>
      <c r="B274" s="2" t="s">
        <v>353</v>
      </c>
      <c r="C274" s="12" t="n">
        <v>46015</v>
      </c>
      <c r="D274" s="2" t="s">
        <v>202</v>
      </c>
      <c r="E274" s="2" t="s">
        <v>57</v>
      </c>
      <c r="F274" s="2" t="s">
        <v>58</v>
      </c>
      <c r="G274" s="2" t="s">
        <v>59</v>
      </c>
      <c r="H274" s="2" t="s">
        <v>60</v>
      </c>
      <c r="I274" s="9" t="n">
        <v>1</v>
      </c>
      <c r="J274" s="3" t="n">
        <v>39.9</v>
      </c>
      <c r="K274" s="3" t="n">
        <v>39.9</v>
      </c>
      <c r="L274" s="4" t="n">
        <v>0</v>
      </c>
      <c r="M274" s="3" t="n">
        <v>0</v>
      </c>
      <c r="N274" s="3" t="n">
        <v>7.98</v>
      </c>
      <c r="O274" s="3" t="n">
        <f aca="false">K274-M274-N274</f>
        <v>31.92</v>
      </c>
      <c r="P274" s="4" t="n">
        <v>0.21</v>
      </c>
      <c r="Q274" s="3" t="n">
        <v>26.38</v>
      </c>
      <c r="R274" s="3" t="n">
        <f aca="false">O274-Q274</f>
        <v>5.54</v>
      </c>
      <c r="S274" s="3" t="n">
        <v>16</v>
      </c>
      <c r="T274" s="3" t="n">
        <f aca="false">Q274-S274</f>
        <v>10.38</v>
      </c>
      <c r="U274" s="4" t="n">
        <f aca="false">IF(Q274=0,0,T274/Q274)</f>
        <v>0.393479909021986</v>
      </c>
      <c r="V274" s="2" t="s">
        <v>148</v>
      </c>
      <c r="W274" s="2" t="s">
        <v>154</v>
      </c>
      <c r="X274" s="2" t="s">
        <v>132</v>
      </c>
    </row>
    <row r="275" customFormat="false" ht="15" hidden="false" customHeight="false" outlineLevel="0" collapsed="false">
      <c r="A275" s="5" t="n">
        <v>274</v>
      </c>
      <c r="B275" s="5" t="s">
        <v>353</v>
      </c>
      <c r="C275" s="13" t="n">
        <v>46015</v>
      </c>
      <c r="D275" s="5" t="s">
        <v>202</v>
      </c>
      <c r="E275" s="5" t="s">
        <v>67</v>
      </c>
      <c r="F275" s="5" t="s">
        <v>68</v>
      </c>
      <c r="G275" s="5" t="s">
        <v>65</v>
      </c>
      <c r="H275" s="5" t="s">
        <v>66</v>
      </c>
      <c r="I275" s="11" t="n">
        <v>2</v>
      </c>
      <c r="J275" s="6" t="n">
        <v>64.9</v>
      </c>
      <c r="K275" s="6" t="n">
        <v>129.8</v>
      </c>
      <c r="L275" s="7" t="n">
        <v>0</v>
      </c>
      <c r="M275" s="6" t="n">
        <v>0</v>
      </c>
      <c r="N275" s="6" t="n">
        <v>25.96</v>
      </c>
      <c r="O275" s="6" t="n">
        <f aca="false">K275-M275-N275</f>
        <v>103.84</v>
      </c>
      <c r="P275" s="7" t="n">
        <v>0.21</v>
      </c>
      <c r="Q275" s="6" t="n">
        <v>85.82</v>
      </c>
      <c r="R275" s="6" t="n">
        <f aca="false">O275-Q275</f>
        <v>18.02</v>
      </c>
      <c r="S275" s="6" t="n">
        <v>56</v>
      </c>
      <c r="T275" s="6" t="n">
        <f aca="false">Q275-S275</f>
        <v>29.82</v>
      </c>
      <c r="U275" s="7" t="n">
        <f aca="false">IF(Q275=0,0,T275/Q275)</f>
        <v>0.34747145187602</v>
      </c>
      <c r="V275" s="5" t="s">
        <v>148</v>
      </c>
      <c r="W275" s="5" t="s">
        <v>154</v>
      </c>
      <c r="X275" s="5" t="s">
        <v>132</v>
      </c>
    </row>
    <row r="276" customFormat="false" ht="15" hidden="false" customHeight="false" outlineLevel="0" collapsed="false">
      <c r="A276" s="2" t="n">
        <v>275</v>
      </c>
      <c r="B276" s="2" t="s">
        <v>354</v>
      </c>
      <c r="C276" s="12" t="n">
        <v>46018</v>
      </c>
      <c r="D276" s="2" t="s">
        <v>258</v>
      </c>
      <c r="E276" s="2" t="s">
        <v>18</v>
      </c>
      <c r="F276" s="2" t="s">
        <v>19</v>
      </c>
      <c r="G276" s="2" t="s">
        <v>13</v>
      </c>
      <c r="H276" s="2" t="s">
        <v>14</v>
      </c>
      <c r="I276" s="9" t="n">
        <v>1</v>
      </c>
      <c r="J276" s="3" t="n">
        <v>199</v>
      </c>
      <c r="K276" s="3" t="n">
        <v>199</v>
      </c>
      <c r="L276" s="4" t="n">
        <v>0.15</v>
      </c>
      <c r="M276" s="3" t="n">
        <v>29.85</v>
      </c>
      <c r="N276" s="3" t="n">
        <v>25.37</v>
      </c>
      <c r="O276" s="3" t="n">
        <f aca="false">K276-M276-N276</f>
        <v>143.78</v>
      </c>
      <c r="P276" s="4" t="n">
        <v>0.21</v>
      </c>
      <c r="Q276" s="3" t="n">
        <v>118.83</v>
      </c>
      <c r="R276" s="3" t="n">
        <f aca="false">O276-Q276</f>
        <v>24.95</v>
      </c>
      <c r="S276" s="3" t="n">
        <v>95</v>
      </c>
      <c r="T276" s="3" t="n">
        <f aca="false">Q276-S276</f>
        <v>23.83</v>
      </c>
      <c r="U276" s="4" t="n">
        <f aca="false">IF(Q276=0,0,T276/Q276)</f>
        <v>0.200538584532525</v>
      </c>
      <c r="V276" s="2" t="s">
        <v>148</v>
      </c>
      <c r="W276" s="2" t="s">
        <v>136</v>
      </c>
      <c r="X276" s="2" t="s">
        <v>132</v>
      </c>
    </row>
    <row r="277" customFormat="false" ht="15" hidden="false" customHeight="false" outlineLevel="0" collapsed="false">
      <c r="A277" s="5" t="n">
        <v>276</v>
      </c>
      <c r="B277" s="5" t="s">
        <v>355</v>
      </c>
      <c r="C277" s="13" t="n">
        <v>46019</v>
      </c>
      <c r="D277" s="5" t="s">
        <v>217</v>
      </c>
      <c r="E277" s="5" t="s">
        <v>92</v>
      </c>
      <c r="F277" s="5" t="s">
        <v>93</v>
      </c>
      <c r="G277" s="5" t="s">
        <v>94</v>
      </c>
      <c r="H277" s="5" t="s">
        <v>95</v>
      </c>
      <c r="I277" s="11" t="n">
        <v>5</v>
      </c>
      <c r="J277" s="6" t="n">
        <v>4.49</v>
      </c>
      <c r="K277" s="6" t="n">
        <v>22.45</v>
      </c>
      <c r="L277" s="7" t="n">
        <v>0</v>
      </c>
      <c r="M277" s="6" t="n">
        <v>0</v>
      </c>
      <c r="N277" s="6" t="n">
        <v>3.37</v>
      </c>
      <c r="O277" s="6" t="n">
        <f aca="false">K277-M277-N277</f>
        <v>19.08</v>
      </c>
      <c r="P277" s="7" t="n">
        <v>0.1</v>
      </c>
      <c r="Q277" s="6" t="n">
        <v>17.35</v>
      </c>
      <c r="R277" s="6" t="n">
        <f aca="false">O277-Q277</f>
        <v>1.73</v>
      </c>
      <c r="S277" s="6" t="n">
        <v>10.5</v>
      </c>
      <c r="T277" s="6" t="n">
        <f aca="false">Q277-S277</f>
        <v>6.85</v>
      </c>
      <c r="U277" s="7" t="n">
        <f aca="false">IF(Q277=0,0,T277/Q277)</f>
        <v>0.394812680115274</v>
      </c>
      <c r="V277" s="5" t="s">
        <v>126</v>
      </c>
      <c r="W277" s="5" t="s">
        <v>177</v>
      </c>
      <c r="X277" s="5" t="s">
        <v>132</v>
      </c>
    </row>
    <row r="278" customFormat="false" ht="15" hidden="false" customHeight="false" outlineLevel="0" collapsed="false">
      <c r="A278" s="2" t="n">
        <v>277</v>
      </c>
      <c r="B278" s="2" t="s">
        <v>356</v>
      </c>
      <c r="C278" s="12" t="n">
        <v>46020</v>
      </c>
      <c r="D278" s="2" t="s">
        <v>158</v>
      </c>
      <c r="E278" s="2" t="s">
        <v>75</v>
      </c>
      <c r="F278" s="2" t="s">
        <v>76</v>
      </c>
      <c r="G278" s="2" t="s">
        <v>71</v>
      </c>
      <c r="H278" s="2" t="s">
        <v>72</v>
      </c>
      <c r="I278" s="9" t="n">
        <v>1</v>
      </c>
      <c r="J278" s="3" t="n">
        <v>449</v>
      </c>
      <c r="K278" s="3" t="n">
        <v>449</v>
      </c>
      <c r="L278" s="4" t="n">
        <v>0</v>
      </c>
      <c r="M278" s="3" t="n">
        <v>0</v>
      </c>
      <c r="N278" s="3" t="n">
        <v>0</v>
      </c>
      <c r="O278" s="3" t="n">
        <f aca="false">K278-M278-N278</f>
        <v>449</v>
      </c>
      <c r="P278" s="4" t="n">
        <v>0.21</v>
      </c>
      <c r="Q278" s="3" t="n">
        <v>371.07</v>
      </c>
      <c r="R278" s="3" t="n">
        <f aca="false">O278-Q278</f>
        <v>77.93</v>
      </c>
      <c r="S278" s="3" t="n">
        <v>360</v>
      </c>
      <c r="T278" s="3" t="n">
        <f aca="false">Q278-S278</f>
        <v>11.07</v>
      </c>
      <c r="U278" s="4" t="n">
        <f aca="false">IF(Q278=0,0,T278/Q278)</f>
        <v>0.0298326461314577</v>
      </c>
      <c r="V278" s="2" t="s">
        <v>126</v>
      </c>
      <c r="W278" s="2" t="s">
        <v>154</v>
      </c>
      <c r="X278" s="2" t="s">
        <v>132</v>
      </c>
    </row>
    <row r="279" customFormat="false" ht="15" hidden="false" customHeight="false" outlineLevel="0" collapsed="false">
      <c r="A279" s="5" t="n">
        <v>278</v>
      </c>
      <c r="B279" s="5" t="s">
        <v>356</v>
      </c>
      <c r="C279" s="13" t="n">
        <v>46020</v>
      </c>
      <c r="D279" s="5" t="s">
        <v>158</v>
      </c>
      <c r="E279" s="5" t="s">
        <v>87</v>
      </c>
      <c r="F279" s="5" t="s">
        <v>88</v>
      </c>
      <c r="G279" s="5" t="s">
        <v>85</v>
      </c>
      <c r="H279" s="5" t="s">
        <v>86</v>
      </c>
      <c r="I279" s="11" t="n">
        <v>1</v>
      </c>
      <c r="J279" s="6" t="n">
        <v>2.49</v>
      </c>
      <c r="K279" s="6" t="n">
        <v>2.49</v>
      </c>
      <c r="L279" s="7" t="n">
        <v>0</v>
      </c>
      <c r="M279" s="6" t="n">
        <v>0</v>
      </c>
      <c r="N279" s="6" t="n">
        <v>0</v>
      </c>
      <c r="O279" s="6" t="n">
        <f aca="false">K279-M279-N279</f>
        <v>2.49</v>
      </c>
      <c r="P279" s="7" t="n">
        <v>0.1</v>
      </c>
      <c r="Q279" s="6" t="n">
        <v>2.26</v>
      </c>
      <c r="R279" s="6" t="n">
        <f aca="false">O279-Q279</f>
        <v>0.23</v>
      </c>
      <c r="S279" s="6" t="n">
        <v>1.5</v>
      </c>
      <c r="T279" s="6" t="n">
        <f aca="false">Q279-S279</f>
        <v>0.76</v>
      </c>
      <c r="U279" s="7" t="n">
        <f aca="false">IF(Q279=0,0,T279/Q279)</f>
        <v>0.336283185840708</v>
      </c>
      <c r="V279" s="5" t="s">
        <v>126</v>
      </c>
      <c r="W279" s="5" t="s">
        <v>154</v>
      </c>
      <c r="X279" s="5" t="s">
        <v>132</v>
      </c>
    </row>
    <row r="280" customFormat="false" ht="15" hidden="false" customHeight="false" outlineLevel="0" collapsed="false">
      <c r="A280" s="2" t="n">
        <v>279</v>
      </c>
      <c r="B280" s="2" t="s">
        <v>356</v>
      </c>
      <c r="C280" s="12" t="n">
        <v>46020</v>
      </c>
      <c r="D280" s="2" t="s">
        <v>158</v>
      </c>
      <c r="E280" s="2" t="s">
        <v>16</v>
      </c>
      <c r="F280" s="2" t="s">
        <v>17</v>
      </c>
      <c r="G280" s="2" t="s">
        <v>13</v>
      </c>
      <c r="H280" s="2" t="s">
        <v>14</v>
      </c>
      <c r="I280" s="9" t="n">
        <v>1</v>
      </c>
      <c r="J280" s="3" t="n">
        <v>54.9</v>
      </c>
      <c r="K280" s="3" t="n">
        <v>54.9</v>
      </c>
      <c r="L280" s="4" t="n">
        <v>0</v>
      </c>
      <c r="M280" s="3" t="n">
        <v>0</v>
      </c>
      <c r="N280" s="3" t="n">
        <v>0</v>
      </c>
      <c r="O280" s="3" t="n">
        <f aca="false">K280-M280-N280</f>
        <v>54.9</v>
      </c>
      <c r="P280" s="4" t="n">
        <v>0.21</v>
      </c>
      <c r="Q280" s="3" t="n">
        <v>45.37</v>
      </c>
      <c r="R280" s="3" t="n">
        <f aca="false">O280-Q280</f>
        <v>9.53</v>
      </c>
      <c r="S280" s="3" t="n">
        <v>22</v>
      </c>
      <c r="T280" s="3" t="n">
        <f aca="false">Q280-S280</f>
        <v>23.37</v>
      </c>
      <c r="U280" s="4" t="n">
        <f aca="false">IF(Q280=0,0,T280/Q280)</f>
        <v>0.515098082433326</v>
      </c>
      <c r="V280" s="2" t="s">
        <v>126</v>
      </c>
      <c r="W280" s="2" t="s">
        <v>154</v>
      </c>
      <c r="X280" s="2" t="s">
        <v>132</v>
      </c>
    </row>
    <row r="281" customFormat="false" ht="15" hidden="false" customHeight="false" outlineLevel="0" collapsed="false">
      <c r="A281" s="5" t="n">
        <v>280</v>
      </c>
      <c r="B281" s="5" t="s">
        <v>356</v>
      </c>
      <c r="C281" s="13" t="n">
        <v>46020</v>
      </c>
      <c r="D281" s="5" t="s">
        <v>158</v>
      </c>
      <c r="E281" s="5" t="s">
        <v>49</v>
      </c>
      <c r="F281" s="5" t="s">
        <v>50</v>
      </c>
      <c r="G281" s="5" t="s">
        <v>51</v>
      </c>
      <c r="H281" s="5" t="s">
        <v>52</v>
      </c>
      <c r="I281" s="11" t="n">
        <v>1</v>
      </c>
      <c r="J281" s="6" t="n">
        <v>19.9</v>
      </c>
      <c r="K281" s="6" t="n">
        <v>19.9</v>
      </c>
      <c r="L281" s="7" t="n">
        <v>0</v>
      </c>
      <c r="M281" s="6" t="n">
        <v>0</v>
      </c>
      <c r="N281" s="6" t="n">
        <v>0</v>
      </c>
      <c r="O281" s="6" t="n">
        <f aca="false">K281-M281-N281</f>
        <v>19.9</v>
      </c>
      <c r="P281" s="7" t="n">
        <v>0.21</v>
      </c>
      <c r="Q281" s="6" t="n">
        <v>16.45</v>
      </c>
      <c r="R281" s="6" t="n">
        <f aca="false">O281-Q281</f>
        <v>3.45</v>
      </c>
      <c r="S281" s="6" t="n">
        <v>7.9</v>
      </c>
      <c r="T281" s="6" t="n">
        <f aca="false">Q281-S281</f>
        <v>8.55</v>
      </c>
      <c r="U281" s="7" t="n">
        <f aca="false">IF(Q281=0,0,T281/Q281)</f>
        <v>0.519756838905775</v>
      </c>
      <c r="V281" s="5" t="s">
        <v>126</v>
      </c>
      <c r="W281" s="5" t="s">
        <v>154</v>
      </c>
      <c r="X281" s="5" t="s">
        <v>132</v>
      </c>
    </row>
    <row r="282" customFormat="false" ht="15" hidden="false" customHeight="false" outlineLevel="0" collapsed="false">
      <c r="A282" s="2" t="n">
        <v>281</v>
      </c>
      <c r="B282" s="2" t="s">
        <v>357</v>
      </c>
      <c r="C282" s="12" t="n">
        <v>46020</v>
      </c>
      <c r="D282" s="2" t="s">
        <v>188</v>
      </c>
      <c r="E282" s="2" t="s">
        <v>55</v>
      </c>
      <c r="F282" s="2" t="s">
        <v>56</v>
      </c>
      <c r="G282" s="2" t="s">
        <v>51</v>
      </c>
      <c r="H282" s="2" t="s">
        <v>52</v>
      </c>
      <c r="I282" s="9" t="n">
        <v>6</v>
      </c>
      <c r="J282" s="3" t="n">
        <v>119</v>
      </c>
      <c r="K282" s="3" t="n">
        <v>714</v>
      </c>
      <c r="L282" s="4" t="n">
        <v>0</v>
      </c>
      <c r="M282" s="3" t="n">
        <v>0</v>
      </c>
      <c r="N282" s="3" t="n">
        <v>107.1</v>
      </c>
      <c r="O282" s="3" t="n">
        <f aca="false">K282-M282-N282</f>
        <v>606.9</v>
      </c>
      <c r="P282" s="4" t="n">
        <v>0.21</v>
      </c>
      <c r="Q282" s="3" t="n">
        <v>501.57</v>
      </c>
      <c r="R282" s="3" t="n">
        <f aca="false">O282-Q282</f>
        <v>105.33</v>
      </c>
      <c r="S282" s="3" t="n">
        <v>330</v>
      </c>
      <c r="T282" s="3" t="n">
        <f aca="false">Q282-S282</f>
        <v>171.57</v>
      </c>
      <c r="U282" s="4" t="n">
        <f aca="false">IF(Q282=0,0,T282/Q282)</f>
        <v>0.342065913033076</v>
      </c>
      <c r="V282" s="2" t="s">
        <v>172</v>
      </c>
      <c r="W282" s="2" t="s">
        <v>156</v>
      </c>
      <c r="X282" s="2" t="s">
        <v>132</v>
      </c>
    </row>
    <row r="283" customFormat="false" ht="15" hidden="false" customHeight="false" outlineLevel="0" collapsed="false">
      <c r="A283" s="5" t="n">
        <v>282</v>
      </c>
      <c r="B283" s="5" t="s">
        <v>358</v>
      </c>
      <c r="C283" s="13" t="n">
        <v>46020</v>
      </c>
      <c r="D283" s="5" t="s">
        <v>149</v>
      </c>
      <c r="E283" s="5" t="s">
        <v>77</v>
      </c>
      <c r="F283" s="5" t="s">
        <v>78</v>
      </c>
      <c r="G283" s="5" t="s">
        <v>79</v>
      </c>
      <c r="H283" s="5" t="s">
        <v>80</v>
      </c>
      <c r="I283" s="11" t="n">
        <v>4</v>
      </c>
      <c r="J283" s="6" t="n">
        <v>59.9</v>
      </c>
      <c r="K283" s="6" t="n">
        <v>239.6</v>
      </c>
      <c r="L283" s="7" t="n">
        <v>0</v>
      </c>
      <c r="M283" s="6" t="n">
        <v>0</v>
      </c>
      <c r="N283" s="6" t="n">
        <v>0</v>
      </c>
      <c r="O283" s="6" t="n">
        <f aca="false">K283-M283-N283</f>
        <v>239.6</v>
      </c>
      <c r="P283" s="7" t="n">
        <v>0.21</v>
      </c>
      <c r="Q283" s="6" t="n">
        <v>198.02</v>
      </c>
      <c r="R283" s="6" t="n">
        <f aca="false">O283-Q283</f>
        <v>41.58</v>
      </c>
      <c r="S283" s="6" t="n">
        <v>96</v>
      </c>
      <c r="T283" s="6" t="n">
        <f aca="false">Q283-S283</f>
        <v>102.02</v>
      </c>
      <c r="U283" s="7" t="n">
        <f aca="false">IF(Q283=0,0,T283/Q283)</f>
        <v>0.515200484799515</v>
      </c>
      <c r="V283" s="5" t="s">
        <v>126</v>
      </c>
      <c r="W283" s="5" t="s">
        <v>177</v>
      </c>
      <c r="X283" s="5" t="s">
        <v>176</v>
      </c>
    </row>
    <row r="284" customFormat="false" ht="15" hidden="false" customHeight="false" outlineLevel="0" collapsed="false">
      <c r="A284" s="2" t="n">
        <v>283</v>
      </c>
      <c r="B284" s="2" t="s">
        <v>359</v>
      </c>
      <c r="C284" s="12" t="n">
        <v>46021</v>
      </c>
      <c r="D284" s="2" t="s">
        <v>217</v>
      </c>
      <c r="E284" s="2" t="s">
        <v>92</v>
      </c>
      <c r="F284" s="2" t="s">
        <v>93</v>
      </c>
      <c r="G284" s="2" t="s">
        <v>94</v>
      </c>
      <c r="H284" s="2" t="s">
        <v>95</v>
      </c>
      <c r="I284" s="9" t="n">
        <v>12</v>
      </c>
      <c r="J284" s="3" t="n">
        <v>4.49</v>
      </c>
      <c r="K284" s="3" t="n">
        <v>53.88</v>
      </c>
      <c r="L284" s="4" t="n">
        <v>0</v>
      </c>
      <c r="M284" s="3" t="n">
        <v>0</v>
      </c>
      <c r="N284" s="3" t="n">
        <v>10.78</v>
      </c>
      <c r="O284" s="3" t="n">
        <f aca="false">K284-M284-N284</f>
        <v>43.1</v>
      </c>
      <c r="P284" s="4" t="n">
        <v>0.1</v>
      </c>
      <c r="Q284" s="3" t="n">
        <v>39.18</v>
      </c>
      <c r="R284" s="3" t="n">
        <f aca="false">O284-Q284</f>
        <v>3.92</v>
      </c>
      <c r="S284" s="3" t="n">
        <v>25.2</v>
      </c>
      <c r="T284" s="3" t="n">
        <f aca="false">Q284-S284</f>
        <v>13.98</v>
      </c>
      <c r="U284" s="4" t="n">
        <f aca="false">IF(Q284=0,0,T284/Q284)</f>
        <v>0.356814701378254</v>
      </c>
      <c r="V284" s="2" t="s">
        <v>126</v>
      </c>
      <c r="W284" s="2" t="s">
        <v>156</v>
      </c>
      <c r="X284" s="2" t="s">
        <v>132</v>
      </c>
    </row>
    <row r="285" customFormat="false" ht="15" hidden="false" customHeight="false" outlineLevel="0" collapsed="false">
      <c r="A285" s="5" t="n">
        <v>284</v>
      </c>
      <c r="B285" s="5" t="s">
        <v>360</v>
      </c>
      <c r="C285" s="13" t="n">
        <v>46021</v>
      </c>
      <c r="D285" s="5" t="s">
        <v>127</v>
      </c>
      <c r="E285" s="5" t="s">
        <v>49</v>
      </c>
      <c r="F285" s="5" t="s">
        <v>50</v>
      </c>
      <c r="G285" s="5" t="s">
        <v>51</v>
      </c>
      <c r="H285" s="5" t="s">
        <v>52</v>
      </c>
      <c r="I285" s="11" t="n">
        <v>1</v>
      </c>
      <c r="J285" s="6" t="n">
        <v>19.9</v>
      </c>
      <c r="K285" s="6" t="n">
        <v>19.9</v>
      </c>
      <c r="L285" s="7" t="n">
        <v>0.1</v>
      </c>
      <c r="M285" s="6" t="n">
        <v>1.99</v>
      </c>
      <c r="N285" s="6" t="n">
        <v>0</v>
      </c>
      <c r="O285" s="6" t="n">
        <f aca="false">K285-M285-N285</f>
        <v>17.91</v>
      </c>
      <c r="P285" s="7" t="n">
        <v>0.21</v>
      </c>
      <c r="Q285" s="6" t="n">
        <v>14.8</v>
      </c>
      <c r="R285" s="6" t="n">
        <f aca="false">O285-Q285</f>
        <v>3.11</v>
      </c>
      <c r="S285" s="6" t="n">
        <v>7.9</v>
      </c>
      <c r="T285" s="6" t="n">
        <f aca="false">Q285-S285</f>
        <v>6.9</v>
      </c>
      <c r="U285" s="7" t="n">
        <f aca="false">IF(Q285=0,0,T285/Q285)</f>
        <v>0.466216216216216</v>
      </c>
      <c r="V285" s="5" t="s">
        <v>138</v>
      </c>
      <c r="W285" s="5" t="s">
        <v>177</v>
      </c>
      <c r="X285" s="5" t="s">
        <v>132</v>
      </c>
    </row>
    <row r="286" customFormat="false" ht="15" hidden="false" customHeight="false" outlineLevel="0" collapsed="false">
      <c r="A286" s="2" t="n">
        <v>285</v>
      </c>
      <c r="B286" s="2" t="s">
        <v>360</v>
      </c>
      <c r="C286" s="12" t="n">
        <v>46021</v>
      </c>
      <c r="D286" s="2" t="s">
        <v>127</v>
      </c>
      <c r="E286" s="2" t="s">
        <v>57</v>
      </c>
      <c r="F286" s="2" t="s">
        <v>58</v>
      </c>
      <c r="G286" s="2" t="s">
        <v>59</v>
      </c>
      <c r="H286" s="2" t="s">
        <v>60</v>
      </c>
      <c r="I286" s="9" t="n">
        <v>1</v>
      </c>
      <c r="J286" s="3" t="n">
        <v>39.9</v>
      </c>
      <c r="K286" s="3" t="n">
        <v>39.9</v>
      </c>
      <c r="L286" s="4" t="n">
        <v>0.1</v>
      </c>
      <c r="M286" s="3" t="n">
        <v>3.99</v>
      </c>
      <c r="N286" s="3" t="n">
        <v>0</v>
      </c>
      <c r="O286" s="3" t="n">
        <f aca="false">K286-M286-N286</f>
        <v>35.91</v>
      </c>
      <c r="P286" s="4" t="n">
        <v>0.21</v>
      </c>
      <c r="Q286" s="3" t="n">
        <v>29.68</v>
      </c>
      <c r="R286" s="3" t="n">
        <f aca="false">O286-Q286</f>
        <v>6.23</v>
      </c>
      <c r="S286" s="3" t="n">
        <v>16</v>
      </c>
      <c r="T286" s="3" t="n">
        <f aca="false">Q286-S286</f>
        <v>13.68</v>
      </c>
      <c r="U286" s="4" t="n">
        <f aca="false">IF(Q286=0,0,T286/Q286)</f>
        <v>0.460916442048518</v>
      </c>
      <c r="V286" s="2" t="s">
        <v>138</v>
      </c>
      <c r="W286" s="2" t="s">
        <v>177</v>
      </c>
      <c r="X286" s="2" t="s">
        <v>132</v>
      </c>
    </row>
    <row r="287" customFormat="false" ht="15" hidden="false" customHeight="false" outlineLevel="0" collapsed="false">
      <c r="A287" s="5" t="n">
        <v>286</v>
      </c>
      <c r="B287" s="5" t="s">
        <v>361</v>
      </c>
      <c r="C287" s="13" t="n">
        <v>46025</v>
      </c>
      <c r="D287" s="5" t="s">
        <v>127</v>
      </c>
      <c r="E287" s="5" t="s">
        <v>81</v>
      </c>
      <c r="F287" s="5" t="s">
        <v>82</v>
      </c>
      <c r="G287" s="5" t="s">
        <v>79</v>
      </c>
      <c r="H287" s="5" t="s">
        <v>80</v>
      </c>
      <c r="I287" s="11" t="n">
        <v>1</v>
      </c>
      <c r="J287" s="6" t="n">
        <v>19.9</v>
      </c>
      <c r="K287" s="6" t="n">
        <v>19.9</v>
      </c>
      <c r="L287" s="7" t="n">
        <v>0</v>
      </c>
      <c r="M287" s="6" t="n">
        <v>0</v>
      </c>
      <c r="N287" s="6" t="n">
        <v>0</v>
      </c>
      <c r="O287" s="6" t="n">
        <f aca="false">K287-M287-N287</f>
        <v>19.9</v>
      </c>
      <c r="P287" s="7" t="n">
        <v>0.21</v>
      </c>
      <c r="Q287" s="6" t="n">
        <v>16.45</v>
      </c>
      <c r="R287" s="6" t="n">
        <f aca="false">O287-Q287</f>
        <v>3.45</v>
      </c>
      <c r="S287" s="6" t="n">
        <v>7</v>
      </c>
      <c r="T287" s="6" t="n">
        <f aca="false">Q287-S287</f>
        <v>9.45</v>
      </c>
      <c r="U287" s="7" t="n">
        <f aca="false">IF(Q287=0,0,T287/Q287)</f>
        <v>0.574468085106383</v>
      </c>
      <c r="V287" s="5" t="s">
        <v>138</v>
      </c>
      <c r="W287" s="5" t="s">
        <v>177</v>
      </c>
      <c r="X287" s="5" t="s">
        <v>231</v>
      </c>
    </row>
    <row r="288" customFormat="false" ht="15" hidden="false" customHeight="false" outlineLevel="0" collapsed="false">
      <c r="A288" s="2" t="n">
        <v>287</v>
      </c>
      <c r="B288" s="2" t="s">
        <v>361</v>
      </c>
      <c r="C288" s="12" t="n">
        <v>46025</v>
      </c>
      <c r="D288" s="2" t="s">
        <v>127</v>
      </c>
      <c r="E288" s="2" t="s">
        <v>83</v>
      </c>
      <c r="F288" s="2" t="s">
        <v>84</v>
      </c>
      <c r="G288" s="2" t="s">
        <v>85</v>
      </c>
      <c r="H288" s="2" t="s">
        <v>86</v>
      </c>
      <c r="I288" s="9" t="n">
        <v>2</v>
      </c>
      <c r="J288" s="3" t="n">
        <v>3.9</v>
      </c>
      <c r="K288" s="3" t="n">
        <v>7.8</v>
      </c>
      <c r="L288" s="4" t="n">
        <v>0</v>
      </c>
      <c r="M288" s="3" t="n">
        <v>0</v>
      </c>
      <c r="N288" s="3" t="n">
        <v>0</v>
      </c>
      <c r="O288" s="3" t="n">
        <f aca="false">K288-M288-N288</f>
        <v>7.8</v>
      </c>
      <c r="P288" s="4" t="n">
        <v>0.1</v>
      </c>
      <c r="Q288" s="3" t="n">
        <v>7.09</v>
      </c>
      <c r="R288" s="3" t="n">
        <f aca="false">O288-Q288</f>
        <v>0.71</v>
      </c>
      <c r="S288" s="3" t="n">
        <v>5</v>
      </c>
      <c r="T288" s="3" t="n">
        <f aca="false">Q288-S288</f>
        <v>2.09</v>
      </c>
      <c r="U288" s="4" t="n">
        <f aca="false">IF(Q288=0,0,T288/Q288)</f>
        <v>0.294781382228491</v>
      </c>
      <c r="V288" s="2" t="s">
        <v>138</v>
      </c>
      <c r="W288" s="2" t="s">
        <v>177</v>
      </c>
      <c r="X288" s="2" t="s">
        <v>231</v>
      </c>
    </row>
    <row r="289" customFormat="false" ht="15" hidden="false" customHeight="false" outlineLevel="0" collapsed="false">
      <c r="A289" s="5" t="n">
        <v>288</v>
      </c>
      <c r="B289" s="5" t="s">
        <v>361</v>
      </c>
      <c r="C289" s="13" t="n">
        <v>46025</v>
      </c>
      <c r="D289" s="5" t="s">
        <v>127</v>
      </c>
      <c r="E289" s="5" t="s">
        <v>96</v>
      </c>
      <c r="F289" s="5" t="s">
        <v>97</v>
      </c>
      <c r="G289" s="5" t="s">
        <v>94</v>
      </c>
      <c r="H289" s="5" t="s">
        <v>95</v>
      </c>
      <c r="I289" s="11" t="n">
        <v>3</v>
      </c>
      <c r="J289" s="6" t="n">
        <v>7.99</v>
      </c>
      <c r="K289" s="6" t="n">
        <v>23.97</v>
      </c>
      <c r="L289" s="7" t="n">
        <v>0.15</v>
      </c>
      <c r="M289" s="6" t="n">
        <v>3.6</v>
      </c>
      <c r="N289" s="6" t="n">
        <v>0</v>
      </c>
      <c r="O289" s="6" t="n">
        <f aca="false">K289-M289-N289</f>
        <v>20.37</v>
      </c>
      <c r="P289" s="7" t="n">
        <v>0.1</v>
      </c>
      <c r="Q289" s="6" t="n">
        <v>18.52</v>
      </c>
      <c r="R289" s="6" t="n">
        <f aca="false">O289-Q289</f>
        <v>1.85</v>
      </c>
      <c r="S289" s="6" t="n">
        <v>10.2</v>
      </c>
      <c r="T289" s="6" t="n">
        <f aca="false">Q289-S289</f>
        <v>8.32</v>
      </c>
      <c r="U289" s="7" t="n">
        <f aca="false">IF(Q289=0,0,T289/Q289)</f>
        <v>0.449244060475162</v>
      </c>
      <c r="V289" s="5" t="s">
        <v>138</v>
      </c>
      <c r="W289" s="5" t="s">
        <v>177</v>
      </c>
      <c r="X289" s="5" t="s">
        <v>231</v>
      </c>
    </row>
    <row r="290" customFormat="false" ht="15" hidden="false" customHeight="false" outlineLevel="0" collapsed="false">
      <c r="A290" s="2" t="n">
        <v>289</v>
      </c>
      <c r="B290" s="2" t="s">
        <v>362</v>
      </c>
      <c r="C290" s="12" t="n">
        <v>46025</v>
      </c>
      <c r="D290" s="2" t="s">
        <v>173</v>
      </c>
      <c r="E290" s="2" t="s">
        <v>31</v>
      </c>
      <c r="F290" s="2" t="s">
        <v>32</v>
      </c>
      <c r="G290" s="2" t="s">
        <v>33</v>
      </c>
      <c r="H290" s="2" t="s">
        <v>23</v>
      </c>
      <c r="I290" s="9" t="n">
        <v>3</v>
      </c>
      <c r="J290" s="3" t="n">
        <v>89.9</v>
      </c>
      <c r="K290" s="3" t="n">
        <v>269.7</v>
      </c>
      <c r="L290" s="4" t="n">
        <v>0</v>
      </c>
      <c r="M290" s="3" t="n">
        <v>0</v>
      </c>
      <c r="N290" s="3" t="n">
        <v>0</v>
      </c>
      <c r="O290" s="3" t="n">
        <f aca="false">K290-M290-N290</f>
        <v>269.7</v>
      </c>
      <c r="P290" s="4" t="n">
        <v>0.21</v>
      </c>
      <c r="Q290" s="3" t="n">
        <v>222.89</v>
      </c>
      <c r="R290" s="3" t="n">
        <f aca="false">O290-Q290</f>
        <v>46.81</v>
      </c>
      <c r="S290" s="3" t="n">
        <v>144</v>
      </c>
      <c r="T290" s="3" t="n">
        <f aca="false">Q290-S290</f>
        <v>78.89</v>
      </c>
      <c r="U290" s="4" t="n">
        <f aca="false">IF(Q290=0,0,T290/Q290)</f>
        <v>0.353941406074745</v>
      </c>
      <c r="V290" s="2" t="s">
        <v>148</v>
      </c>
      <c r="W290" s="2" t="s">
        <v>136</v>
      </c>
      <c r="X290" s="2" t="s">
        <v>132</v>
      </c>
    </row>
    <row r="291" customFormat="false" ht="15" hidden="false" customHeight="false" outlineLevel="0" collapsed="false">
      <c r="A291" s="5" t="n">
        <v>290</v>
      </c>
      <c r="B291" s="5" t="s">
        <v>363</v>
      </c>
      <c r="C291" s="13" t="n">
        <v>46027</v>
      </c>
      <c r="D291" s="5" t="s">
        <v>217</v>
      </c>
      <c r="E291" s="5" t="s">
        <v>83</v>
      </c>
      <c r="F291" s="5" t="s">
        <v>84</v>
      </c>
      <c r="G291" s="5" t="s">
        <v>85</v>
      </c>
      <c r="H291" s="5" t="s">
        <v>86</v>
      </c>
      <c r="I291" s="11" t="n">
        <v>2</v>
      </c>
      <c r="J291" s="6" t="n">
        <v>3.9</v>
      </c>
      <c r="K291" s="6" t="n">
        <v>7.8</v>
      </c>
      <c r="L291" s="7" t="n">
        <v>0</v>
      </c>
      <c r="M291" s="6" t="n">
        <v>0</v>
      </c>
      <c r="N291" s="6" t="n">
        <v>1.56</v>
      </c>
      <c r="O291" s="6" t="n">
        <f aca="false">K291-M291-N291</f>
        <v>6.24</v>
      </c>
      <c r="P291" s="7" t="n">
        <v>0.1</v>
      </c>
      <c r="Q291" s="6" t="n">
        <v>5.67</v>
      </c>
      <c r="R291" s="6" t="n">
        <f aca="false">O291-Q291</f>
        <v>0.57</v>
      </c>
      <c r="S291" s="6" t="n">
        <v>5</v>
      </c>
      <c r="T291" s="6" t="n">
        <f aca="false">Q291-S291</f>
        <v>0.67</v>
      </c>
      <c r="U291" s="7" t="n">
        <f aca="false">IF(Q291=0,0,T291/Q291)</f>
        <v>0.118165784832451</v>
      </c>
      <c r="V291" s="5" t="s">
        <v>126</v>
      </c>
      <c r="W291" s="5" t="s">
        <v>156</v>
      </c>
      <c r="X291" s="5" t="s">
        <v>132</v>
      </c>
    </row>
    <row r="292" customFormat="false" ht="15" hidden="false" customHeight="false" outlineLevel="0" collapsed="false">
      <c r="A292" s="2" t="n">
        <v>291</v>
      </c>
      <c r="B292" s="2" t="s">
        <v>363</v>
      </c>
      <c r="C292" s="12" t="n">
        <v>46027</v>
      </c>
      <c r="D292" s="2" t="s">
        <v>217</v>
      </c>
      <c r="E292" s="2" t="s">
        <v>31</v>
      </c>
      <c r="F292" s="2" t="s">
        <v>32</v>
      </c>
      <c r="G292" s="2" t="s">
        <v>33</v>
      </c>
      <c r="H292" s="2" t="s">
        <v>23</v>
      </c>
      <c r="I292" s="9" t="n">
        <v>1</v>
      </c>
      <c r="J292" s="3" t="n">
        <v>89.9</v>
      </c>
      <c r="K292" s="3" t="n">
        <v>89.9</v>
      </c>
      <c r="L292" s="4" t="n">
        <v>0</v>
      </c>
      <c r="M292" s="3" t="n">
        <v>0</v>
      </c>
      <c r="N292" s="3" t="n">
        <v>17.98</v>
      </c>
      <c r="O292" s="3" t="n">
        <f aca="false">K292-M292-N292</f>
        <v>71.92</v>
      </c>
      <c r="P292" s="4" t="n">
        <v>0.21</v>
      </c>
      <c r="Q292" s="3" t="n">
        <v>59.44</v>
      </c>
      <c r="R292" s="3" t="n">
        <f aca="false">O292-Q292</f>
        <v>12.48</v>
      </c>
      <c r="S292" s="3" t="n">
        <v>48</v>
      </c>
      <c r="T292" s="3" t="n">
        <f aca="false">Q292-S292</f>
        <v>11.44</v>
      </c>
      <c r="U292" s="4" t="n">
        <f aca="false">IF(Q292=0,0,T292/Q292)</f>
        <v>0.192462987886945</v>
      </c>
      <c r="V292" s="2" t="s">
        <v>126</v>
      </c>
      <c r="W292" s="2" t="s">
        <v>156</v>
      </c>
      <c r="X292" s="2" t="s">
        <v>132</v>
      </c>
    </row>
    <row r="293" customFormat="false" ht="15" hidden="false" customHeight="false" outlineLevel="0" collapsed="false">
      <c r="A293" s="5" t="n">
        <v>292</v>
      </c>
      <c r="B293" s="5" t="s">
        <v>363</v>
      </c>
      <c r="C293" s="13" t="n">
        <v>46027</v>
      </c>
      <c r="D293" s="5" t="s">
        <v>217</v>
      </c>
      <c r="E293" s="5" t="s">
        <v>57</v>
      </c>
      <c r="F293" s="5" t="s">
        <v>58</v>
      </c>
      <c r="G293" s="5" t="s">
        <v>59</v>
      </c>
      <c r="H293" s="5" t="s">
        <v>60</v>
      </c>
      <c r="I293" s="11" t="n">
        <v>3</v>
      </c>
      <c r="J293" s="6" t="n">
        <v>39.9</v>
      </c>
      <c r="K293" s="6" t="n">
        <v>119.7</v>
      </c>
      <c r="L293" s="7" t="n">
        <v>0</v>
      </c>
      <c r="M293" s="6" t="n">
        <v>0</v>
      </c>
      <c r="N293" s="6" t="n">
        <v>23.94</v>
      </c>
      <c r="O293" s="6" t="n">
        <f aca="false">K293-M293-N293</f>
        <v>95.76</v>
      </c>
      <c r="P293" s="7" t="n">
        <v>0.21</v>
      </c>
      <c r="Q293" s="6" t="n">
        <v>79.14</v>
      </c>
      <c r="R293" s="6" t="n">
        <f aca="false">O293-Q293</f>
        <v>16.62</v>
      </c>
      <c r="S293" s="6" t="n">
        <v>48</v>
      </c>
      <c r="T293" s="6" t="n">
        <f aca="false">Q293-S293</f>
        <v>31.14</v>
      </c>
      <c r="U293" s="7" t="n">
        <f aca="false">IF(Q293=0,0,T293/Q293)</f>
        <v>0.393479909021986</v>
      </c>
      <c r="V293" s="5" t="s">
        <v>126</v>
      </c>
      <c r="W293" s="5" t="s">
        <v>156</v>
      </c>
      <c r="X293" s="5" t="s">
        <v>132</v>
      </c>
    </row>
    <row r="294" customFormat="false" ht="15" hidden="false" customHeight="false" outlineLevel="0" collapsed="false">
      <c r="A294" s="2" t="n">
        <v>293</v>
      </c>
      <c r="B294" s="2" t="s">
        <v>364</v>
      </c>
      <c r="C294" s="12" t="n">
        <v>46027</v>
      </c>
      <c r="D294" s="2" t="s">
        <v>258</v>
      </c>
      <c r="E294" s="2" t="s">
        <v>26</v>
      </c>
      <c r="F294" s="2" t="s">
        <v>27</v>
      </c>
      <c r="G294" s="2" t="s">
        <v>22</v>
      </c>
      <c r="H294" s="2" t="s">
        <v>23</v>
      </c>
      <c r="I294" s="9" t="n">
        <v>2</v>
      </c>
      <c r="J294" s="3" t="n">
        <v>79.9</v>
      </c>
      <c r="K294" s="3" t="n">
        <v>159.8</v>
      </c>
      <c r="L294" s="4" t="n">
        <v>0</v>
      </c>
      <c r="M294" s="3" t="n">
        <v>0</v>
      </c>
      <c r="N294" s="3" t="n">
        <v>0</v>
      </c>
      <c r="O294" s="3" t="n">
        <f aca="false">K294-M294-N294</f>
        <v>159.8</v>
      </c>
      <c r="P294" s="4" t="n">
        <v>0.21</v>
      </c>
      <c r="Q294" s="3" t="n">
        <v>132.07</v>
      </c>
      <c r="R294" s="3" t="n">
        <f aca="false">O294-Q294</f>
        <v>27.73</v>
      </c>
      <c r="S294" s="3" t="n">
        <v>68</v>
      </c>
      <c r="T294" s="3" t="n">
        <f aca="false">Q294-S294</f>
        <v>64.07</v>
      </c>
      <c r="U294" s="4" t="n">
        <f aca="false">IF(Q294=0,0,T294/Q294)</f>
        <v>0.485121526463239</v>
      </c>
      <c r="V294" s="2" t="s">
        <v>148</v>
      </c>
      <c r="W294" s="2" t="s">
        <v>136</v>
      </c>
      <c r="X294" s="2" t="s">
        <v>132</v>
      </c>
    </row>
    <row r="295" customFormat="false" ht="15" hidden="false" customHeight="false" outlineLevel="0" collapsed="false">
      <c r="A295" s="5" t="n">
        <v>294</v>
      </c>
      <c r="B295" s="5" t="s">
        <v>364</v>
      </c>
      <c r="C295" s="13" t="n">
        <v>46027</v>
      </c>
      <c r="D295" s="5" t="s">
        <v>258</v>
      </c>
      <c r="E295" s="5" t="s">
        <v>40</v>
      </c>
      <c r="F295" s="5" t="s">
        <v>41</v>
      </c>
      <c r="G295" s="5" t="s">
        <v>38</v>
      </c>
      <c r="H295" s="5" t="s">
        <v>39</v>
      </c>
      <c r="I295" s="11" t="n">
        <v>1</v>
      </c>
      <c r="J295" s="6" t="n">
        <v>12.9</v>
      </c>
      <c r="K295" s="6" t="n">
        <v>12.9</v>
      </c>
      <c r="L295" s="7" t="n">
        <v>0</v>
      </c>
      <c r="M295" s="6" t="n">
        <v>0</v>
      </c>
      <c r="N295" s="6" t="n">
        <v>0</v>
      </c>
      <c r="O295" s="6" t="n">
        <f aca="false">K295-M295-N295</f>
        <v>12.9</v>
      </c>
      <c r="P295" s="7" t="n">
        <v>0.21</v>
      </c>
      <c r="Q295" s="6" t="n">
        <v>10.66</v>
      </c>
      <c r="R295" s="6" t="n">
        <f aca="false">O295-Q295</f>
        <v>2.24</v>
      </c>
      <c r="S295" s="6" t="n">
        <v>2.1</v>
      </c>
      <c r="T295" s="6" t="n">
        <f aca="false">Q295-S295</f>
        <v>8.56</v>
      </c>
      <c r="U295" s="7" t="n">
        <f aca="false">IF(Q295=0,0,T295/Q295)</f>
        <v>0.803001876172608</v>
      </c>
      <c r="V295" s="5" t="s">
        <v>148</v>
      </c>
      <c r="W295" s="5" t="s">
        <v>136</v>
      </c>
      <c r="X295" s="5" t="s">
        <v>132</v>
      </c>
    </row>
    <row r="296" customFormat="false" ht="15" hidden="false" customHeight="false" outlineLevel="0" collapsed="false">
      <c r="A296" s="2" t="n">
        <v>295</v>
      </c>
      <c r="B296" s="2" t="s">
        <v>365</v>
      </c>
      <c r="C296" s="12" t="n">
        <v>46028</v>
      </c>
      <c r="D296" s="2" t="s">
        <v>164</v>
      </c>
      <c r="E296" s="2" t="s">
        <v>40</v>
      </c>
      <c r="F296" s="2" t="s">
        <v>41</v>
      </c>
      <c r="G296" s="2" t="s">
        <v>38</v>
      </c>
      <c r="H296" s="2" t="s">
        <v>39</v>
      </c>
      <c r="I296" s="9" t="n">
        <v>1</v>
      </c>
      <c r="J296" s="3" t="n">
        <v>12.9</v>
      </c>
      <c r="K296" s="3" t="n">
        <v>12.9</v>
      </c>
      <c r="L296" s="4" t="n">
        <v>0</v>
      </c>
      <c r="M296" s="3" t="n">
        <v>0</v>
      </c>
      <c r="N296" s="3" t="n">
        <v>1.94</v>
      </c>
      <c r="O296" s="3" t="n">
        <f aca="false">K296-M296-N296</f>
        <v>10.96</v>
      </c>
      <c r="P296" s="4" t="n">
        <v>0.21</v>
      </c>
      <c r="Q296" s="3" t="n">
        <v>9.06</v>
      </c>
      <c r="R296" s="3" t="n">
        <f aca="false">O296-Q296</f>
        <v>1.9</v>
      </c>
      <c r="S296" s="3" t="n">
        <v>2.1</v>
      </c>
      <c r="T296" s="3" t="n">
        <f aca="false">Q296-S296</f>
        <v>6.96</v>
      </c>
      <c r="U296" s="4" t="n">
        <f aca="false">IF(Q296=0,0,T296/Q296)</f>
        <v>0.768211920529801</v>
      </c>
      <c r="V296" s="2" t="s">
        <v>126</v>
      </c>
      <c r="W296" s="2" t="s">
        <v>154</v>
      </c>
      <c r="X296" s="2" t="s">
        <v>132</v>
      </c>
    </row>
    <row r="297" customFormat="false" ht="15" hidden="false" customHeight="false" outlineLevel="0" collapsed="false">
      <c r="A297" s="5" t="n">
        <v>296</v>
      </c>
      <c r="B297" s="5" t="s">
        <v>365</v>
      </c>
      <c r="C297" s="13" t="n">
        <v>46028</v>
      </c>
      <c r="D297" s="5" t="s">
        <v>164</v>
      </c>
      <c r="E297" s="5" t="s">
        <v>42</v>
      </c>
      <c r="F297" s="5" t="s">
        <v>43</v>
      </c>
      <c r="G297" s="5" t="s">
        <v>44</v>
      </c>
      <c r="H297" s="5" t="s">
        <v>39</v>
      </c>
      <c r="I297" s="11" t="n">
        <v>1</v>
      </c>
      <c r="J297" s="6" t="n">
        <v>24.9</v>
      </c>
      <c r="K297" s="6" t="n">
        <v>24.9</v>
      </c>
      <c r="L297" s="7" t="n">
        <v>0</v>
      </c>
      <c r="M297" s="6" t="n">
        <v>0</v>
      </c>
      <c r="N297" s="6" t="n">
        <v>3.73</v>
      </c>
      <c r="O297" s="6" t="n">
        <f aca="false">K297-M297-N297</f>
        <v>21.17</v>
      </c>
      <c r="P297" s="7" t="n">
        <v>0.21</v>
      </c>
      <c r="Q297" s="6" t="n">
        <v>17.5</v>
      </c>
      <c r="R297" s="6" t="n">
        <f aca="false">O297-Q297</f>
        <v>3.67</v>
      </c>
      <c r="S297" s="6" t="n">
        <v>8.5</v>
      </c>
      <c r="T297" s="6" t="n">
        <f aca="false">Q297-S297</f>
        <v>9</v>
      </c>
      <c r="U297" s="7" t="n">
        <f aca="false">IF(Q297=0,0,T297/Q297)</f>
        <v>0.514285714285714</v>
      </c>
      <c r="V297" s="5" t="s">
        <v>126</v>
      </c>
      <c r="W297" s="5" t="s">
        <v>154</v>
      </c>
      <c r="X297" s="5" t="s">
        <v>132</v>
      </c>
    </row>
    <row r="298" customFormat="false" ht="15" hidden="false" customHeight="false" outlineLevel="0" collapsed="false">
      <c r="A298" s="2" t="n">
        <v>297</v>
      </c>
      <c r="B298" s="2" t="s">
        <v>366</v>
      </c>
      <c r="C298" s="12" t="n">
        <v>46028</v>
      </c>
      <c r="D298" s="2" t="s">
        <v>202</v>
      </c>
      <c r="E298" s="2" t="s">
        <v>87</v>
      </c>
      <c r="F298" s="2" t="s">
        <v>88</v>
      </c>
      <c r="G298" s="2" t="s">
        <v>85</v>
      </c>
      <c r="H298" s="2" t="s">
        <v>86</v>
      </c>
      <c r="I298" s="9" t="n">
        <v>8</v>
      </c>
      <c r="J298" s="3" t="n">
        <v>2.49</v>
      </c>
      <c r="K298" s="3" t="n">
        <v>19.92</v>
      </c>
      <c r="L298" s="4" t="n">
        <v>0.1</v>
      </c>
      <c r="M298" s="3" t="n">
        <v>1.99</v>
      </c>
      <c r="N298" s="3" t="n">
        <v>0</v>
      </c>
      <c r="O298" s="3" t="n">
        <f aca="false">K298-M298-N298</f>
        <v>17.93</v>
      </c>
      <c r="P298" s="4" t="n">
        <v>0.1</v>
      </c>
      <c r="Q298" s="3" t="n">
        <v>16.3</v>
      </c>
      <c r="R298" s="3" t="n">
        <f aca="false">O298-Q298</f>
        <v>1.63</v>
      </c>
      <c r="S298" s="3" t="n">
        <v>12</v>
      </c>
      <c r="T298" s="3" t="n">
        <f aca="false">Q298-S298</f>
        <v>4.3</v>
      </c>
      <c r="U298" s="4" t="n">
        <f aca="false">IF(Q298=0,0,T298/Q298)</f>
        <v>0.263803680981595</v>
      </c>
      <c r="V298" s="2" t="s">
        <v>138</v>
      </c>
      <c r="W298" s="2" t="s">
        <v>156</v>
      </c>
      <c r="X298" s="2" t="s">
        <v>132</v>
      </c>
    </row>
    <row r="299" customFormat="false" ht="15" hidden="false" customHeight="false" outlineLevel="0" collapsed="false">
      <c r="A299" s="5" t="n">
        <v>298</v>
      </c>
      <c r="B299" s="5" t="s">
        <v>366</v>
      </c>
      <c r="C299" s="13" t="n">
        <v>46028</v>
      </c>
      <c r="D299" s="5" t="s">
        <v>202</v>
      </c>
      <c r="E299" s="5" t="s">
        <v>16</v>
      </c>
      <c r="F299" s="5" t="s">
        <v>17</v>
      </c>
      <c r="G299" s="5" t="s">
        <v>13</v>
      </c>
      <c r="H299" s="5" t="s">
        <v>14</v>
      </c>
      <c r="I299" s="11" t="n">
        <v>2</v>
      </c>
      <c r="J299" s="6" t="n">
        <v>54.9</v>
      </c>
      <c r="K299" s="6" t="n">
        <v>109.8</v>
      </c>
      <c r="L299" s="7" t="n">
        <v>0.05</v>
      </c>
      <c r="M299" s="6" t="n">
        <v>5.49</v>
      </c>
      <c r="N299" s="6" t="n">
        <v>0</v>
      </c>
      <c r="O299" s="6" t="n">
        <f aca="false">K299-M299-N299</f>
        <v>104.31</v>
      </c>
      <c r="P299" s="7" t="n">
        <v>0.21</v>
      </c>
      <c r="Q299" s="6" t="n">
        <v>86.21</v>
      </c>
      <c r="R299" s="6" t="n">
        <f aca="false">O299-Q299</f>
        <v>18.1</v>
      </c>
      <c r="S299" s="6" t="n">
        <v>44</v>
      </c>
      <c r="T299" s="6" t="n">
        <f aca="false">Q299-S299</f>
        <v>42.21</v>
      </c>
      <c r="U299" s="7" t="n">
        <f aca="false">IF(Q299=0,0,T299/Q299)</f>
        <v>0.489618373738545</v>
      </c>
      <c r="V299" s="5" t="s">
        <v>138</v>
      </c>
      <c r="W299" s="5" t="s">
        <v>156</v>
      </c>
      <c r="X299" s="5" t="s">
        <v>132</v>
      </c>
    </row>
    <row r="300" customFormat="false" ht="15" hidden="false" customHeight="false" outlineLevel="0" collapsed="false">
      <c r="A300" s="2" t="n">
        <v>299</v>
      </c>
      <c r="B300" s="2" t="s">
        <v>367</v>
      </c>
      <c r="C300" s="12" t="n">
        <v>46028</v>
      </c>
      <c r="D300" s="2" t="s">
        <v>173</v>
      </c>
      <c r="E300" s="2" t="s">
        <v>11</v>
      </c>
      <c r="F300" s="2" t="s">
        <v>12</v>
      </c>
      <c r="G300" s="2" t="s">
        <v>13</v>
      </c>
      <c r="H300" s="2" t="s">
        <v>14</v>
      </c>
      <c r="I300" s="9" t="n">
        <v>1</v>
      </c>
      <c r="J300" s="3" t="n">
        <v>89.9</v>
      </c>
      <c r="K300" s="3" t="n">
        <v>89.9</v>
      </c>
      <c r="L300" s="4" t="n">
        <v>0</v>
      </c>
      <c r="M300" s="3" t="n">
        <v>0</v>
      </c>
      <c r="N300" s="3" t="n">
        <v>13.48</v>
      </c>
      <c r="O300" s="3" t="n">
        <f aca="false">K300-M300-N300</f>
        <v>76.42</v>
      </c>
      <c r="P300" s="4" t="n">
        <v>0.21</v>
      </c>
      <c r="Q300" s="3" t="n">
        <v>63.16</v>
      </c>
      <c r="R300" s="3" t="n">
        <f aca="false">O300-Q300</f>
        <v>13.26</v>
      </c>
      <c r="S300" s="3" t="n">
        <v>38.5</v>
      </c>
      <c r="T300" s="3" t="n">
        <f aca="false">Q300-S300</f>
        <v>24.66</v>
      </c>
      <c r="U300" s="4" t="n">
        <f aca="false">IF(Q300=0,0,T300/Q300)</f>
        <v>0.390436985433819</v>
      </c>
      <c r="V300" s="2" t="s">
        <v>126</v>
      </c>
      <c r="W300" s="2" t="s">
        <v>156</v>
      </c>
      <c r="X300" s="2" t="s">
        <v>132</v>
      </c>
    </row>
    <row r="301" customFormat="false" ht="15" hidden="false" customHeight="false" outlineLevel="0" collapsed="false">
      <c r="A301" s="5" t="n">
        <v>300</v>
      </c>
      <c r="B301" s="5" t="s">
        <v>368</v>
      </c>
      <c r="C301" s="13" t="n">
        <v>46032</v>
      </c>
      <c r="D301" s="5" t="s">
        <v>202</v>
      </c>
      <c r="E301" s="5" t="s">
        <v>63</v>
      </c>
      <c r="F301" s="5" t="s">
        <v>64</v>
      </c>
      <c r="G301" s="5" t="s">
        <v>65</v>
      </c>
      <c r="H301" s="5" t="s">
        <v>66</v>
      </c>
      <c r="I301" s="11" t="n">
        <v>1</v>
      </c>
      <c r="J301" s="6" t="n">
        <v>139</v>
      </c>
      <c r="K301" s="6" t="n">
        <v>139</v>
      </c>
      <c r="L301" s="7" t="n">
        <v>0</v>
      </c>
      <c r="M301" s="6" t="n">
        <v>0</v>
      </c>
      <c r="N301" s="6" t="n">
        <v>0</v>
      </c>
      <c r="O301" s="6" t="n">
        <f aca="false">K301-M301-N301</f>
        <v>139</v>
      </c>
      <c r="P301" s="7" t="n">
        <v>0.21</v>
      </c>
      <c r="Q301" s="6" t="n">
        <v>114.88</v>
      </c>
      <c r="R301" s="6" t="n">
        <f aca="false">O301-Q301</f>
        <v>24.12</v>
      </c>
      <c r="S301" s="6" t="n">
        <v>62</v>
      </c>
      <c r="T301" s="6" t="n">
        <f aca="false">Q301-S301</f>
        <v>52.88</v>
      </c>
      <c r="U301" s="7" t="n">
        <f aca="false">IF(Q301=0,0,T301/Q301)</f>
        <v>0.460306406685237</v>
      </c>
      <c r="V301" s="5" t="s">
        <v>138</v>
      </c>
      <c r="W301" s="5" t="s">
        <v>154</v>
      </c>
      <c r="X301" s="5" t="s">
        <v>132</v>
      </c>
    </row>
    <row r="302" customFormat="false" ht="15" hidden="false" customHeight="false" outlineLevel="0" collapsed="false">
      <c r="A302" s="2" t="n">
        <v>301</v>
      </c>
      <c r="B302" s="2" t="s">
        <v>368</v>
      </c>
      <c r="C302" s="12" t="n">
        <v>46032</v>
      </c>
      <c r="D302" s="2" t="s">
        <v>202</v>
      </c>
      <c r="E302" s="2" t="s">
        <v>28</v>
      </c>
      <c r="F302" s="2" t="s">
        <v>29</v>
      </c>
      <c r="G302" s="2" t="s">
        <v>30</v>
      </c>
      <c r="H302" s="2" t="s">
        <v>23</v>
      </c>
      <c r="I302" s="9" t="n">
        <v>4</v>
      </c>
      <c r="J302" s="3" t="n">
        <v>289</v>
      </c>
      <c r="K302" s="3" t="n">
        <v>1156</v>
      </c>
      <c r="L302" s="4" t="n">
        <v>0</v>
      </c>
      <c r="M302" s="3" t="n">
        <v>0</v>
      </c>
      <c r="N302" s="3" t="n">
        <v>0</v>
      </c>
      <c r="O302" s="3" t="n">
        <f aca="false">K302-M302-N302</f>
        <v>1156</v>
      </c>
      <c r="P302" s="4" t="n">
        <v>0.21</v>
      </c>
      <c r="Q302" s="3" t="n">
        <v>955.37</v>
      </c>
      <c r="R302" s="3" t="n">
        <f aca="false">O302-Q302</f>
        <v>200.63</v>
      </c>
      <c r="S302" s="3" t="n">
        <v>560</v>
      </c>
      <c r="T302" s="3" t="n">
        <f aca="false">Q302-S302</f>
        <v>395.37</v>
      </c>
      <c r="U302" s="4" t="n">
        <f aca="false">IF(Q302=0,0,T302/Q302)</f>
        <v>0.413839664213865</v>
      </c>
      <c r="V302" s="2" t="s">
        <v>138</v>
      </c>
      <c r="W302" s="2" t="s">
        <v>154</v>
      </c>
      <c r="X302" s="2" t="s">
        <v>132</v>
      </c>
    </row>
    <row r="303" customFormat="false" ht="15" hidden="false" customHeight="false" outlineLevel="0" collapsed="false">
      <c r="A303" s="5" t="n">
        <v>302</v>
      </c>
      <c r="B303" s="5" t="s">
        <v>368</v>
      </c>
      <c r="C303" s="13" t="n">
        <v>46032</v>
      </c>
      <c r="D303" s="5" t="s">
        <v>202</v>
      </c>
      <c r="E303" s="5" t="s">
        <v>36</v>
      </c>
      <c r="F303" s="5" t="s">
        <v>37</v>
      </c>
      <c r="G303" s="5" t="s">
        <v>38</v>
      </c>
      <c r="H303" s="5" t="s">
        <v>39</v>
      </c>
      <c r="I303" s="11" t="n">
        <v>1</v>
      </c>
      <c r="J303" s="6" t="n">
        <v>399</v>
      </c>
      <c r="K303" s="6" t="n">
        <v>399</v>
      </c>
      <c r="L303" s="7" t="n">
        <v>0</v>
      </c>
      <c r="M303" s="6" t="n">
        <v>0</v>
      </c>
      <c r="N303" s="6" t="n">
        <v>0</v>
      </c>
      <c r="O303" s="6" t="n">
        <f aca="false">K303-M303-N303</f>
        <v>399</v>
      </c>
      <c r="P303" s="7" t="n">
        <v>0.21</v>
      </c>
      <c r="Q303" s="6" t="n">
        <v>329.75</v>
      </c>
      <c r="R303" s="6" t="n">
        <f aca="false">O303-Q303</f>
        <v>69.25</v>
      </c>
      <c r="S303" s="6" t="n">
        <v>265</v>
      </c>
      <c r="T303" s="6" t="n">
        <f aca="false">Q303-S303</f>
        <v>64.75</v>
      </c>
      <c r="U303" s="7" t="n">
        <f aca="false">IF(Q303=0,0,T303/Q303)</f>
        <v>0.196360879454132</v>
      </c>
      <c r="V303" s="5" t="s">
        <v>138</v>
      </c>
      <c r="W303" s="5" t="s">
        <v>154</v>
      </c>
      <c r="X303" s="5" t="s">
        <v>132</v>
      </c>
    </row>
    <row r="304" customFormat="false" ht="15" hidden="false" customHeight="false" outlineLevel="0" collapsed="false">
      <c r="A304" s="2" t="n">
        <v>303</v>
      </c>
      <c r="B304" s="2" t="s">
        <v>368</v>
      </c>
      <c r="C304" s="12" t="n">
        <v>46032</v>
      </c>
      <c r="D304" s="2" t="s">
        <v>202</v>
      </c>
      <c r="E304" s="2" t="s">
        <v>57</v>
      </c>
      <c r="F304" s="2" t="s">
        <v>58</v>
      </c>
      <c r="G304" s="2" t="s">
        <v>59</v>
      </c>
      <c r="H304" s="2" t="s">
        <v>60</v>
      </c>
      <c r="I304" s="9" t="n">
        <v>2</v>
      </c>
      <c r="J304" s="3" t="n">
        <v>39.9</v>
      </c>
      <c r="K304" s="3" t="n">
        <v>79.8</v>
      </c>
      <c r="L304" s="4" t="n">
        <v>0</v>
      </c>
      <c r="M304" s="3" t="n">
        <v>0</v>
      </c>
      <c r="N304" s="3" t="n">
        <v>0</v>
      </c>
      <c r="O304" s="3" t="n">
        <f aca="false">K304-M304-N304</f>
        <v>79.8</v>
      </c>
      <c r="P304" s="4" t="n">
        <v>0.21</v>
      </c>
      <c r="Q304" s="3" t="n">
        <v>65.95</v>
      </c>
      <c r="R304" s="3" t="n">
        <f aca="false">O304-Q304</f>
        <v>13.85</v>
      </c>
      <c r="S304" s="3" t="n">
        <v>32</v>
      </c>
      <c r="T304" s="3" t="n">
        <f aca="false">Q304-S304</f>
        <v>33.95</v>
      </c>
      <c r="U304" s="4" t="n">
        <f aca="false">IF(Q304=0,0,T304/Q304)</f>
        <v>0.514783927217589</v>
      </c>
      <c r="V304" s="2" t="s">
        <v>138</v>
      </c>
      <c r="W304" s="2" t="s">
        <v>154</v>
      </c>
      <c r="X304" s="2" t="s">
        <v>132</v>
      </c>
    </row>
    <row r="305" customFormat="false" ht="15" hidden="false" customHeight="false" outlineLevel="0" collapsed="false">
      <c r="A305" s="5" t="n">
        <v>304</v>
      </c>
      <c r="B305" s="5" t="s">
        <v>368</v>
      </c>
      <c r="C305" s="13" t="n">
        <v>46032</v>
      </c>
      <c r="D305" s="5" t="s">
        <v>202</v>
      </c>
      <c r="E305" s="5" t="s">
        <v>47</v>
      </c>
      <c r="F305" s="5" t="s">
        <v>48</v>
      </c>
      <c r="G305" s="5" t="s">
        <v>44</v>
      </c>
      <c r="H305" s="5" t="s">
        <v>39</v>
      </c>
      <c r="I305" s="11" t="n">
        <v>3</v>
      </c>
      <c r="J305" s="6" t="n">
        <v>34.9</v>
      </c>
      <c r="K305" s="6" t="n">
        <v>104.7</v>
      </c>
      <c r="L305" s="7" t="n">
        <v>0</v>
      </c>
      <c r="M305" s="6" t="n">
        <v>0</v>
      </c>
      <c r="N305" s="6" t="n">
        <v>0</v>
      </c>
      <c r="O305" s="6" t="n">
        <f aca="false">K305-M305-N305</f>
        <v>104.7</v>
      </c>
      <c r="P305" s="7" t="n">
        <v>0.21</v>
      </c>
      <c r="Q305" s="6" t="n">
        <v>86.53</v>
      </c>
      <c r="R305" s="6" t="n">
        <f aca="false">O305-Q305</f>
        <v>18.17</v>
      </c>
      <c r="S305" s="6" t="n">
        <v>42</v>
      </c>
      <c r="T305" s="6" t="n">
        <f aca="false">Q305-S305</f>
        <v>44.53</v>
      </c>
      <c r="U305" s="7" t="n">
        <f aca="false">IF(Q305=0,0,T305/Q305)</f>
        <v>0.514619207211372</v>
      </c>
      <c r="V305" s="5" t="s">
        <v>138</v>
      </c>
      <c r="W305" s="5" t="s">
        <v>154</v>
      </c>
      <c r="X305" s="5" t="s">
        <v>132</v>
      </c>
    </row>
    <row r="306" customFormat="false" ht="15" hidden="false" customHeight="false" outlineLevel="0" collapsed="false">
      <c r="A306" s="2" t="n">
        <v>305</v>
      </c>
      <c r="B306" s="2" t="s">
        <v>369</v>
      </c>
      <c r="C306" s="12" t="n">
        <v>46033</v>
      </c>
      <c r="D306" s="2" t="s">
        <v>179</v>
      </c>
      <c r="E306" s="2" t="s">
        <v>40</v>
      </c>
      <c r="F306" s="2" t="s">
        <v>41</v>
      </c>
      <c r="G306" s="2" t="s">
        <v>38</v>
      </c>
      <c r="H306" s="2" t="s">
        <v>39</v>
      </c>
      <c r="I306" s="9" t="n">
        <v>1</v>
      </c>
      <c r="J306" s="3" t="n">
        <v>12.9</v>
      </c>
      <c r="K306" s="3" t="n">
        <v>12.9</v>
      </c>
      <c r="L306" s="4" t="n">
        <v>0</v>
      </c>
      <c r="M306" s="3" t="n">
        <v>0</v>
      </c>
      <c r="N306" s="3" t="n">
        <v>0</v>
      </c>
      <c r="O306" s="3" t="n">
        <f aca="false">K306-M306-N306</f>
        <v>12.9</v>
      </c>
      <c r="P306" s="4" t="n">
        <v>0.21</v>
      </c>
      <c r="Q306" s="3" t="n">
        <v>10.66</v>
      </c>
      <c r="R306" s="3" t="n">
        <f aca="false">O306-Q306</f>
        <v>2.24</v>
      </c>
      <c r="S306" s="3" t="n">
        <v>2.1</v>
      </c>
      <c r="T306" s="3" t="n">
        <f aca="false">Q306-S306</f>
        <v>8.56</v>
      </c>
      <c r="U306" s="4" t="n">
        <f aca="false">IF(Q306=0,0,T306/Q306)</f>
        <v>0.803001876172608</v>
      </c>
      <c r="V306" s="2" t="s">
        <v>138</v>
      </c>
      <c r="W306" s="2" t="s">
        <v>156</v>
      </c>
      <c r="X306" s="2" t="s">
        <v>132</v>
      </c>
    </row>
    <row r="307" customFormat="false" ht="15" hidden="false" customHeight="false" outlineLevel="0" collapsed="false">
      <c r="A307" s="5" t="n">
        <v>306</v>
      </c>
      <c r="B307" s="5" t="s">
        <v>370</v>
      </c>
      <c r="C307" s="13" t="n">
        <v>46034</v>
      </c>
      <c r="D307" s="5" t="s">
        <v>179</v>
      </c>
      <c r="E307" s="5" t="s">
        <v>69</v>
      </c>
      <c r="F307" s="5" t="s">
        <v>70</v>
      </c>
      <c r="G307" s="5" t="s">
        <v>71</v>
      </c>
      <c r="H307" s="5" t="s">
        <v>72</v>
      </c>
      <c r="I307" s="11" t="n">
        <v>1</v>
      </c>
      <c r="J307" s="6" t="n">
        <v>22.9</v>
      </c>
      <c r="K307" s="6" t="n">
        <v>22.9</v>
      </c>
      <c r="L307" s="7" t="n">
        <v>0.05</v>
      </c>
      <c r="M307" s="6" t="n">
        <v>1.14</v>
      </c>
      <c r="N307" s="6" t="n">
        <v>2.18</v>
      </c>
      <c r="O307" s="6" t="n">
        <f aca="false">K307-M307-N307</f>
        <v>19.58</v>
      </c>
      <c r="P307" s="7" t="n">
        <v>0.21</v>
      </c>
      <c r="Q307" s="6" t="n">
        <v>16.18</v>
      </c>
      <c r="R307" s="6" t="n">
        <f aca="false">O307-Q307</f>
        <v>3.4</v>
      </c>
      <c r="S307" s="6" t="n">
        <v>8</v>
      </c>
      <c r="T307" s="6" t="n">
        <f aca="false">Q307-S307</f>
        <v>8.18</v>
      </c>
      <c r="U307" s="7" t="n">
        <f aca="false">IF(Q307=0,0,T307/Q307)</f>
        <v>0.505562422744129</v>
      </c>
      <c r="V307" s="5" t="s">
        <v>126</v>
      </c>
      <c r="W307" s="5" t="s">
        <v>154</v>
      </c>
      <c r="X307" s="5" t="s">
        <v>132</v>
      </c>
    </row>
    <row r="308" customFormat="false" ht="15" hidden="false" customHeight="false" outlineLevel="0" collapsed="false">
      <c r="A308" s="2" t="n">
        <v>307</v>
      </c>
      <c r="B308" s="2" t="s">
        <v>371</v>
      </c>
      <c r="C308" s="12" t="n">
        <v>46035</v>
      </c>
      <c r="D308" s="2" t="s">
        <v>164</v>
      </c>
      <c r="E308" s="2" t="s">
        <v>47</v>
      </c>
      <c r="F308" s="2" t="s">
        <v>48</v>
      </c>
      <c r="G308" s="2" t="s">
        <v>44</v>
      </c>
      <c r="H308" s="2" t="s">
        <v>39</v>
      </c>
      <c r="I308" s="9" t="n">
        <v>1</v>
      </c>
      <c r="J308" s="3" t="n">
        <v>34.9</v>
      </c>
      <c r="K308" s="3" t="n">
        <v>34.9</v>
      </c>
      <c r="L308" s="4" t="n">
        <v>0</v>
      </c>
      <c r="M308" s="3" t="n">
        <v>0</v>
      </c>
      <c r="N308" s="3" t="n">
        <v>3.49</v>
      </c>
      <c r="O308" s="3" t="n">
        <f aca="false">K308-M308-N308</f>
        <v>31.41</v>
      </c>
      <c r="P308" s="4" t="n">
        <v>0.21</v>
      </c>
      <c r="Q308" s="3" t="n">
        <v>25.96</v>
      </c>
      <c r="R308" s="3" t="n">
        <f aca="false">O308-Q308</f>
        <v>5.45</v>
      </c>
      <c r="S308" s="3" t="n">
        <v>14</v>
      </c>
      <c r="T308" s="3" t="n">
        <f aca="false">Q308-S308</f>
        <v>11.96</v>
      </c>
      <c r="U308" s="4" t="n">
        <f aca="false">IF(Q308=0,0,T308/Q308)</f>
        <v>0.460708782742681</v>
      </c>
      <c r="V308" s="2" t="s">
        <v>148</v>
      </c>
      <c r="W308" s="2" t="s">
        <v>154</v>
      </c>
      <c r="X308" s="2" t="s">
        <v>132</v>
      </c>
    </row>
    <row r="309" customFormat="false" ht="15" hidden="false" customHeight="false" outlineLevel="0" collapsed="false">
      <c r="A309" s="5" t="n">
        <v>308</v>
      </c>
      <c r="B309" s="5" t="s">
        <v>372</v>
      </c>
      <c r="C309" s="13" t="n">
        <v>46039</v>
      </c>
      <c r="D309" s="5" t="s">
        <v>202</v>
      </c>
      <c r="E309" s="5" t="s">
        <v>42</v>
      </c>
      <c r="F309" s="5" t="s">
        <v>43</v>
      </c>
      <c r="G309" s="5" t="s">
        <v>44</v>
      </c>
      <c r="H309" s="5" t="s">
        <v>39</v>
      </c>
      <c r="I309" s="11" t="n">
        <v>1</v>
      </c>
      <c r="J309" s="6" t="n">
        <v>24.9</v>
      </c>
      <c r="K309" s="6" t="n">
        <v>24.9</v>
      </c>
      <c r="L309" s="7" t="n">
        <v>0</v>
      </c>
      <c r="M309" s="6" t="n">
        <v>0</v>
      </c>
      <c r="N309" s="6" t="n">
        <v>0</v>
      </c>
      <c r="O309" s="6" t="n">
        <f aca="false">K309-M309-N309</f>
        <v>24.9</v>
      </c>
      <c r="P309" s="7" t="n">
        <v>0.21</v>
      </c>
      <c r="Q309" s="6" t="n">
        <v>20.58</v>
      </c>
      <c r="R309" s="6" t="n">
        <f aca="false">O309-Q309</f>
        <v>4.32</v>
      </c>
      <c r="S309" s="6" t="n">
        <v>8.5</v>
      </c>
      <c r="T309" s="6" t="n">
        <f aca="false">Q309-S309</f>
        <v>12.08</v>
      </c>
      <c r="U309" s="7" t="n">
        <f aca="false">IF(Q309=0,0,T309/Q309)</f>
        <v>0.586977648202138</v>
      </c>
      <c r="V309" s="5" t="s">
        <v>138</v>
      </c>
      <c r="W309" s="5" t="s">
        <v>154</v>
      </c>
      <c r="X309" s="5" t="s">
        <v>132</v>
      </c>
    </row>
    <row r="310" customFormat="false" ht="15" hidden="false" customHeight="false" outlineLevel="0" collapsed="false">
      <c r="A310" s="2" t="n">
        <v>309</v>
      </c>
      <c r="B310" s="2" t="s">
        <v>372</v>
      </c>
      <c r="C310" s="12" t="n">
        <v>46039</v>
      </c>
      <c r="D310" s="2" t="s">
        <v>202</v>
      </c>
      <c r="E310" s="2" t="s">
        <v>89</v>
      </c>
      <c r="F310" s="2" t="s">
        <v>90</v>
      </c>
      <c r="G310" s="2" t="s">
        <v>91</v>
      </c>
      <c r="H310" s="2" t="s">
        <v>86</v>
      </c>
      <c r="I310" s="9" t="n">
        <v>5</v>
      </c>
      <c r="J310" s="3" t="n">
        <v>4.99</v>
      </c>
      <c r="K310" s="3" t="n">
        <v>24.95</v>
      </c>
      <c r="L310" s="4" t="n">
        <v>0.1</v>
      </c>
      <c r="M310" s="3" t="n">
        <v>2.5</v>
      </c>
      <c r="N310" s="3" t="n">
        <v>0</v>
      </c>
      <c r="O310" s="3" t="n">
        <f aca="false">K310-M310-N310</f>
        <v>22.45</v>
      </c>
      <c r="P310" s="4" t="n">
        <v>0.1</v>
      </c>
      <c r="Q310" s="3" t="n">
        <v>20.41</v>
      </c>
      <c r="R310" s="3" t="n">
        <f aca="false">O310-Q310</f>
        <v>2.04</v>
      </c>
      <c r="S310" s="3" t="n">
        <v>11.5</v>
      </c>
      <c r="T310" s="3" t="n">
        <f aca="false">Q310-S310</f>
        <v>8.91</v>
      </c>
      <c r="U310" s="4" t="n">
        <f aca="false">IF(Q310=0,0,T310/Q310)</f>
        <v>0.436550710436061</v>
      </c>
      <c r="V310" s="2" t="s">
        <v>138</v>
      </c>
      <c r="W310" s="2" t="s">
        <v>154</v>
      </c>
      <c r="X310" s="2" t="s">
        <v>132</v>
      </c>
    </row>
    <row r="311" customFormat="false" ht="15" hidden="false" customHeight="false" outlineLevel="0" collapsed="false">
      <c r="A311" s="5" t="n">
        <v>310</v>
      </c>
      <c r="B311" s="5" t="s">
        <v>373</v>
      </c>
      <c r="C311" s="13" t="n">
        <v>46040</v>
      </c>
      <c r="D311" s="5" t="s">
        <v>179</v>
      </c>
      <c r="E311" s="5" t="s">
        <v>83</v>
      </c>
      <c r="F311" s="5" t="s">
        <v>84</v>
      </c>
      <c r="G311" s="5" t="s">
        <v>85</v>
      </c>
      <c r="H311" s="5" t="s">
        <v>86</v>
      </c>
      <c r="I311" s="11" t="n">
        <v>3</v>
      </c>
      <c r="J311" s="6" t="n">
        <v>3.9</v>
      </c>
      <c r="K311" s="6" t="n">
        <v>11.7</v>
      </c>
      <c r="L311" s="7" t="n">
        <v>0</v>
      </c>
      <c r="M311" s="6" t="n">
        <v>0</v>
      </c>
      <c r="N311" s="6" t="n">
        <v>0</v>
      </c>
      <c r="O311" s="6" t="n">
        <f aca="false">K311-M311-N311</f>
        <v>11.7</v>
      </c>
      <c r="P311" s="7" t="n">
        <v>0.1</v>
      </c>
      <c r="Q311" s="6" t="n">
        <v>10.64</v>
      </c>
      <c r="R311" s="6" t="n">
        <f aca="false">O311-Q311</f>
        <v>1.06</v>
      </c>
      <c r="S311" s="6" t="n">
        <v>7.5</v>
      </c>
      <c r="T311" s="6" t="n">
        <f aca="false">Q311-S311</f>
        <v>3.14</v>
      </c>
      <c r="U311" s="7" t="n">
        <f aca="false">IF(Q311=0,0,T311/Q311)</f>
        <v>0.295112781954887</v>
      </c>
      <c r="V311" s="5" t="s">
        <v>138</v>
      </c>
      <c r="W311" s="5" t="s">
        <v>156</v>
      </c>
      <c r="X311" s="5" t="s">
        <v>132</v>
      </c>
    </row>
    <row r="312" customFormat="false" ht="15" hidden="false" customHeight="false" outlineLevel="0" collapsed="false">
      <c r="A312" s="2" t="n">
        <v>311</v>
      </c>
      <c r="B312" s="2" t="s">
        <v>374</v>
      </c>
      <c r="C312" s="12" t="n">
        <v>46040</v>
      </c>
      <c r="D312" s="2" t="s">
        <v>202</v>
      </c>
      <c r="E312" s="2" t="s">
        <v>31</v>
      </c>
      <c r="F312" s="2" t="s">
        <v>32</v>
      </c>
      <c r="G312" s="2" t="s">
        <v>33</v>
      </c>
      <c r="H312" s="2" t="s">
        <v>23</v>
      </c>
      <c r="I312" s="9" t="n">
        <v>1</v>
      </c>
      <c r="J312" s="3" t="n">
        <v>89.9</v>
      </c>
      <c r="K312" s="3" t="n">
        <v>89.9</v>
      </c>
      <c r="L312" s="4" t="n">
        <v>0</v>
      </c>
      <c r="M312" s="3" t="n">
        <v>0</v>
      </c>
      <c r="N312" s="3" t="n">
        <v>8.99</v>
      </c>
      <c r="O312" s="3" t="n">
        <f aca="false">K312-M312-N312</f>
        <v>80.91</v>
      </c>
      <c r="P312" s="4" t="n">
        <v>0.21</v>
      </c>
      <c r="Q312" s="3" t="n">
        <v>66.87</v>
      </c>
      <c r="R312" s="3" t="n">
        <f aca="false">O312-Q312</f>
        <v>14.04</v>
      </c>
      <c r="S312" s="3" t="n">
        <v>48</v>
      </c>
      <c r="T312" s="3" t="n">
        <f aca="false">Q312-S312</f>
        <v>18.87</v>
      </c>
      <c r="U312" s="4" t="n">
        <f aca="false">IF(Q312=0,0,T312/Q312)</f>
        <v>0.282189322566173</v>
      </c>
      <c r="V312" s="2" t="s">
        <v>138</v>
      </c>
      <c r="W312" s="2" t="s">
        <v>154</v>
      </c>
      <c r="X312" s="2" t="s">
        <v>132</v>
      </c>
    </row>
    <row r="313" customFormat="false" ht="15" hidden="false" customHeight="false" outlineLevel="0" collapsed="false">
      <c r="A313" s="5" t="n">
        <v>312</v>
      </c>
      <c r="B313" s="5" t="s">
        <v>374</v>
      </c>
      <c r="C313" s="13" t="n">
        <v>46040</v>
      </c>
      <c r="D313" s="5" t="s">
        <v>202</v>
      </c>
      <c r="E313" s="5" t="s">
        <v>69</v>
      </c>
      <c r="F313" s="5" t="s">
        <v>70</v>
      </c>
      <c r="G313" s="5" t="s">
        <v>71</v>
      </c>
      <c r="H313" s="5" t="s">
        <v>72</v>
      </c>
      <c r="I313" s="11" t="n">
        <v>1</v>
      </c>
      <c r="J313" s="6" t="n">
        <v>22.9</v>
      </c>
      <c r="K313" s="6" t="n">
        <v>22.9</v>
      </c>
      <c r="L313" s="7" t="n">
        <v>0</v>
      </c>
      <c r="M313" s="6" t="n">
        <v>0</v>
      </c>
      <c r="N313" s="6" t="n">
        <v>2.29</v>
      </c>
      <c r="O313" s="6" t="n">
        <f aca="false">K313-M313-N313</f>
        <v>20.61</v>
      </c>
      <c r="P313" s="7" t="n">
        <v>0.21</v>
      </c>
      <c r="Q313" s="6" t="n">
        <v>17.03</v>
      </c>
      <c r="R313" s="6" t="n">
        <f aca="false">O313-Q313</f>
        <v>3.58</v>
      </c>
      <c r="S313" s="6" t="n">
        <v>8</v>
      </c>
      <c r="T313" s="6" t="n">
        <f aca="false">Q313-S313</f>
        <v>9.03</v>
      </c>
      <c r="U313" s="7" t="n">
        <f aca="false">IF(Q313=0,0,T313/Q313)</f>
        <v>0.530240751614797</v>
      </c>
      <c r="V313" s="5" t="s">
        <v>138</v>
      </c>
      <c r="W313" s="5" t="s">
        <v>154</v>
      </c>
      <c r="X313" s="5" t="s">
        <v>132</v>
      </c>
    </row>
    <row r="314" customFormat="false" ht="15" hidden="false" customHeight="false" outlineLevel="0" collapsed="false">
      <c r="A314" s="2" t="n">
        <v>313</v>
      </c>
      <c r="B314" s="2" t="s">
        <v>375</v>
      </c>
      <c r="C314" s="12" t="n">
        <v>46041</v>
      </c>
      <c r="D314" s="2" t="s">
        <v>258</v>
      </c>
      <c r="E314" s="2" t="s">
        <v>24</v>
      </c>
      <c r="F314" s="2" t="s">
        <v>25</v>
      </c>
      <c r="G314" s="2" t="s">
        <v>22</v>
      </c>
      <c r="H314" s="2" t="s">
        <v>23</v>
      </c>
      <c r="I314" s="9" t="n">
        <v>1</v>
      </c>
      <c r="J314" s="3" t="n">
        <v>24.9</v>
      </c>
      <c r="K314" s="3" t="n">
        <v>24.9</v>
      </c>
      <c r="L314" s="4" t="n">
        <v>0</v>
      </c>
      <c r="M314" s="3" t="n">
        <v>0</v>
      </c>
      <c r="N314" s="3" t="n">
        <v>4.98</v>
      </c>
      <c r="O314" s="3" t="n">
        <f aca="false">K314-M314-N314</f>
        <v>19.92</v>
      </c>
      <c r="P314" s="4" t="n">
        <v>0.21</v>
      </c>
      <c r="Q314" s="3" t="n">
        <v>16.46</v>
      </c>
      <c r="R314" s="3" t="n">
        <f aca="false">O314-Q314</f>
        <v>3.46</v>
      </c>
      <c r="S314" s="3" t="n">
        <v>9.8</v>
      </c>
      <c r="T314" s="3" t="n">
        <f aca="false">Q314-S314</f>
        <v>6.66</v>
      </c>
      <c r="U314" s="4" t="n">
        <f aca="false">IF(Q314=0,0,T314/Q314)</f>
        <v>0.404617253948967</v>
      </c>
      <c r="V314" s="2" t="s">
        <v>126</v>
      </c>
      <c r="W314" s="2" t="s">
        <v>177</v>
      </c>
      <c r="X314" s="2" t="s">
        <v>132</v>
      </c>
    </row>
    <row r="315" customFormat="false" ht="15" hidden="false" customHeight="false" outlineLevel="0" collapsed="false">
      <c r="A315" s="5" t="n">
        <v>314</v>
      </c>
      <c r="B315" s="5" t="s">
        <v>376</v>
      </c>
      <c r="C315" s="13" t="n">
        <v>46046</v>
      </c>
      <c r="D315" s="5" t="s">
        <v>149</v>
      </c>
      <c r="E315" s="5" t="s">
        <v>55</v>
      </c>
      <c r="F315" s="5" t="s">
        <v>56</v>
      </c>
      <c r="G315" s="5" t="s">
        <v>51</v>
      </c>
      <c r="H315" s="5" t="s">
        <v>52</v>
      </c>
      <c r="I315" s="11" t="n">
        <v>2</v>
      </c>
      <c r="J315" s="6" t="n">
        <v>119</v>
      </c>
      <c r="K315" s="6" t="n">
        <v>238</v>
      </c>
      <c r="L315" s="7" t="n">
        <v>0</v>
      </c>
      <c r="M315" s="6" t="n">
        <v>0</v>
      </c>
      <c r="N315" s="6" t="n">
        <v>0</v>
      </c>
      <c r="O315" s="6" t="n">
        <f aca="false">K315-M315-N315</f>
        <v>238</v>
      </c>
      <c r="P315" s="7" t="n">
        <v>0.21</v>
      </c>
      <c r="Q315" s="6" t="n">
        <v>196.69</v>
      </c>
      <c r="R315" s="6" t="n">
        <f aca="false">O315-Q315</f>
        <v>41.31</v>
      </c>
      <c r="S315" s="6" t="n">
        <v>110</v>
      </c>
      <c r="T315" s="6" t="n">
        <f aca="false">Q315-S315</f>
        <v>86.69</v>
      </c>
      <c r="U315" s="7" t="n">
        <f aca="false">IF(Q315=0,0,T315/Q315)</f>
        <v>0.44074431847069</v>
      </c>
      <c r="V315" s="5" t="s">
        <v>138</v>
      </c>
      <c r="W315" s="5" t="s">
        <v>136</v>
      </c>
      <c r="X315" s="5" t="s">
        <v>132</v>
      </c>
    </row>
    <row r="316" customFormat="false" ht="15" hidden="false" customHeight="false" outlineLevel="0" collapsed="false">
      <c r="A316" s="2" t="n">
        <v>315</v>
      </c>
      <c r="B316" s="2" t="s">
        <v>377</v>
      </c>
      <c r="C316" s="12" t="n">
        <v>46046</v>
      </c>
      <c r="D316" s="2" t="s">
        <v>179</v>
      </c>
      <c r="E316" s="2" t="s">
        <v>47</v>
      </c>
      <c r="F316" s="2" t="s">
        <v>48</v>
      </c>
      <c r="G316" s="2" t="s">
        <v>44</v>
      </c>
      <c r="H316" s="2" t="s">
        <v>39</v>
      </c>
      <c r="I316" s="9" t="n">
        <v>1</v>
      </c>
      <c r="J316" s="3" t="n">
        <v>34.9</v>
      </c>
      <c r="K316" s="3" t="n">
        <v>34.9</v>
      </c>
      <c r="L316" s="4" t="n">
        <v>0</v>
      </c>
      <c r="M316" s="3" t="n">
        <v>0</v>
      </c>
      <c r="N316" s="3" t="n">
        <v>0</v>
      </c>
      <c r="O316" s="3" t="n">
        <f aca="false">K316-M316-N316</f>
        <v>34.9</v>
      </c>
      <c r="P316" s="4" t="n">
        <v>0.21</v>
      </c>
      <c r="Q316" s="3" t="n">
        <v>28.84</v>
      </c>
      <c r="R316" s="3" t="n">
        <f aca="false">O316-Q316</f>
        <v>6.06</v>
      </c>
      <c r="S316" s="3" t="n">
        <v>14</v>
      </c>
      <c r="T316" s="3" t="n">
        <f aca="false">Q316-S316</f>
        <v>14.84</v>
      </c>
      <c r="U316" s="4" t="n">
        <f aca="false">IF(Q316=0,0,T316/Q316)</f>
        <v>0.514563106796117</v>
      </c>
      <c r="V316" s="2" t="s">
        <v>138</v>
      </c>
      <c r="W316" s="2" t="s">
        <v>177</v>
      </c>
      <c r="X316" s="2" t="s">
        <v>176</v>
      </c>
    </row>
    <row r="317" customFormat="false" ht="15" hidden="false" customHeight="false" outlineLevel="0" collapsed="false">
      <c r="A317" s="5" t="n">
        <v>316</v>
      </c>
      <c r="B317" s="5" t="s">
        <v>377</v>
      </c>
      <c r="C317" s="13" t="n">
        <v>46046</v>
      </c>
      <c r="D317" s="5" t="s">
        <v>179</v>
      </c>
      <c r="E317" s="5" t="s">
        <v>28</v>
      </c>
      <c r="F317" s="5" t="s">
        <v>29</v>
      </c>
      <c r="G317" s="5" t="s">
        <v>30</v>
      </c>
      <c r="H317" s="5" t="s">
        <v>23</v>
      </c>
      <c r="I317" s="11" t="n">
        <v>2</v>
      </c>
      <c r="J317" s="6" t="n">
        <v>289</v>
      </c>
      <c r="K317" s="6" t="n">
        <v>578</v>
      </c>
      <c r="L317" s="7" t="n">
        <v>0.1</v>
      </c>
      <c r="M317" s="6" t="n">
        <v>57.8</v>
      </c>
      <c r="N317" s="6" t="n">
        <v>0</v>
      </c>
      <c r="O317" s="6" t="n">
        <f aca="false">K317-M317-N317</f>
        <v>520.2</v>
      </c>
      <c r="P317" s="7" t="n">
        <v>0.21</v>
      </c>
      <c r="Q317" s="6" t="n">
        <v>429.92</v>
      </c>
      <c r="R317" s="6" t="n">
        <f aca="false">O317-Q317</f>
        <v>90.28</v>
      </c>
      <c r="S317" s="6" t="n">
        <v>280</v>
      </c>
      <c r="T317" s="6" t="n">
        <f aca="false">Q317-S317</f>
        <v>149.92</v>
      </c>
      <c r="U317" s="7" t="n">
        <f aca="false">IF(Q317=0,0,T317/Q317)</f>
        <v>0.348716040193524</v>
      </c>
      <c r="V317" s="5" t="s">
        <v>138</v>
      </c>
      <c r="W317" s="5" t="s">
        <v>177</v>
      </c>
      <c r="X317" s="5" t="s">
        <v>176</v>
      </c>
    </row>
    <row r="318" customFormat="false" ht="15" hidden="false" customHeight="false" outlineLevel="0" collapsed="false">
      <c r="A318" s="2" t="n">
        <v>317</v>
      </c>
      <c r="B318" s="2" t="s">
        <v>377</v>
      </c>
      <c r="C318" s="12" t="n">
        <v>46046</v>
      </c>
      <c r="D318" s="2" t="s">
        <v>179</v>
      </c>
      <c r="E318" s="2" t="s">
        <v>63</v>
      </c>
      <c r="F318" s="2" t="s">
        <v>64</v>
      </c>
      <c r="G318" s="2" t="s">
        <v>65</v>
      </c>
      <c r="H318" s="2" t="s">
        <v>66</v>
      </c>
      <c r="I318" s="9" t="n">
        <v>1</v>
      </c>
      <c r="J318" s="3" t="n">
        <v>139</v>
      </c>
      <c r="K318" s="3" t="n">
        <v>139</v>
      </c>
      <c r="L318" s="4" t="n">
        <v>0</v>
      </c>
      <c r="M318" s="3" t="n">
        <v>0</v>
      </c>
      <c r="N318" s="3" t="n">
        <v>0</v>
      </c>
      <c r="O318" s="3" t="n">
        <f aca="false">K318-M318-N318</f>
        <v>139</v>
      </c>
      <c r="P318" s="4" t="n">
        <v>0.21</v>
      </c>
      <c r="Q318" s="3" t="n">
        <v>114.88</v>
      </c>
      <c r="R318" s="3" t="n">
        <f aca="false">O318-Q318</f>
        <v>24.12</v>
      </c>
      <c r="S318" s="3" t="n">
        <v>62</v>
      </c>
      <c r="T318" s="3" t="n">
        <f aca="false">Q318-S318</f>
        <v>52.88</v>
      </c>
      <c r="U318" s="4" t="n">
        <f aca="false">IF(Q318=0,0,T318/Q318)</f>
        <v>0.460306406685237</v>
      </c>
      <c r="V318" s="2" t="s">
        <v>138</v>
      </c>
      <c r="W318" s="2" t="s">
        <v>177</v>
      </c>
      <c r="X318" s="2" t="s">
        <v>176</v>
      </c>
    </row>
    <row r="319" customFormat="false" ht="15" hidden="false" customHeight="false" outlineLevel="0" collapsed="false">
      <c r="A319" s="5" t="n">
        <v>318</v>
      </c>
      <c r="B319" s="5" t="s">
        <v>378</v>
      </c>
      <c r="C319" s="13" t="n">
        <v>46048</v>
      </c>
      <c r="D319" s="5" t="s">
        <v>158</v>
      </c>
      <c r="E319" s="5" t="s">
        <v>20</v>
      </c>
      <c r="F319" s="5" t="s">
        <v>21</v>
      </c>
      <c r="G319" s="5" t="s">
        <v>22</v>
      </c>
      <c r="H319" s="5" t="s">
        <v>23</v>
      </c>
      <c r="I319" s="11" t="n">
        <v>4</v>
      </c>
      <c r="J319" s="6" t="n">
        <v>799</v>
      </c>
      <c r="K319" s="6" t="n">
        <v>3196</v>
      </c>
      <c r="L319" s="7" t="n">
        <v>0.25</v>
      </c>
      <c r="M319" s="6" t="n">
        <v>799</v>
      </c>
      <c r="N319" s="6" t="n">
        <v>0</v>
      </c>
      <c r="O319" s="6" t="n">
        <f aca="false">K319-M319-N319</f>
        <v>2397</v>
      </c>
      <c r="P319" s="7" t="n">
        <v>0.21</v>
      </c>
      <c r="Q319" s="6" t="n">
        <v>1980.99</v>
      </c>
      <c r="R319" s="6" t="n">
        <f aca="false">O319-Q319</f>
        <v>416.01</v>
      </c>
      <c r="S319" s="6" t="n">
        <v>2200</v>
      </c>
      <c r="T319" s="6" t="n">
        <f aca="false">Q319-S319</f>
        <v>-219.01</v>
      </c>
      <c r="U319" s="7" t="n">
        <f aca="false">IF(Q319=0,0,T319/Q319)</f>
        <v>-0.110555833194514</v>
      </c>
      <c r="V319" s="5" t="s">
        <v>138</v>
      </c>
      <c r="W319" s="5" t="s">
        <v>177</v>
      </c>
      <c r="X319" s="5" t="s">
        <v>132</v>
      </c>
    </row>
    <row r="320" customFormat="false" ht="15" hidden="false" customHeight="false" outlineLevel="0" collapsed="false">
      <c r="A320" s="2" t="n">
        <v>319</v>
      </c>
      <c r="B320" s="2" t="s">
        <v>378</v>
      </c>
      <c r="C320" s="12" t="n">
        <v>46048</v>
      </c>
      <c r="D320" s="2" t="s">
        <v>158</v>
      </c>
      <c r="E320" s="2" t="s">
        <v>96</v>
      </c>
      <c r="F320" s="2" t="s">
        <v>97</v>
      </c>
      <c r="G320" s="2" t="s">
        <v>94</v>
      </c>
      <c r="H320" s="2" t="s">
        <v>95</v>
      </c>
      <c r="I320" s="9" t="n">
        <v>2</v>
      </c>
      <c r="J320" s="3" t="n">
        <v>7.99</v>
      </c>
      <c r="K320" s="3" t="n">
        <v>15.98</v>
      </c>
      <c r="L320" s="4" t="n">
        <v>0</v>
      </c>
      <c r="M320" s="3" t="n">
        <v>0</v>
      </c>
      <c r="N320" s="3" t="n">
        <v>0</v>
      </c>
      <c r="O320" s="3" t="n">
        <f aca="false">K320-M320-N320</f>
        <v>15.98</v>
      </c>
      <c r="P320" s="4" t="n">
        <v>0.1</v>
      </c>
      <c r="Q320" s="3" t="n">
        <v>14.53</v>
      </c>
      <c r="R320" s="3" t="n">
        <f aca="false">O320-Q320</f>
        <v>1.45</v>
      </c>
      <c r="S320" s="3" t="n">
        <v>6.8</v>
      </c>
      <c r="T320" s="3" t="n">
        <f aca="false">Q320-S320</f>
        <v>7.73</v>
      </c>
      <c r="U320" s="4" t="n">
        <f aca="false">IF(Q320=0,0,T320/Q320)</f>
        <v>0.532002752924983</v>
      </c>
      <c r="V320" s="2" t="s">
        <v>138</v>
      </c>
      <c r="W320" s="2" t="s">
        <v>177</v>
      </c>
      <c r="X320" s="2" t="s">
        <v>132</v>
      </c>
    </row>
    <row r="321" customFormat="false" ht="15" hidden="false" customHeight="false" outlineLevel="0" collapsed="false">
      <c r="A321" s="5" t="n">
        <v>320</v>
      </c>
      <c r="B321" s="5" t="s">
        <v>378</v>
      </c>
      <c r="C321" s="13" t="n">
        <v>46048</v>
      </c>
      <c r="D321" s="5" t="s">
        <v>158</v>
      </c>
      <c r="E321" s="5" t="s">
        <v>81</v>
      </c>
      <c r="F321" s="5" t="s">
        <v>82</v>
      </c>
      <c r="G321" s="5" t="s">
        <v>79</v>
      </c>
      <c r="H321" s="5" t="s">
        <v>80</v>
      </c>
      <c r="I321" s="11" t="n">
        <v>1</v>
      </c>
      <c r="J321" s="6" t="n">
        <v>19.9</v>
      </c>
      <c r="K321" s="6" t="n">
        <v>19.9</v>
      </c>
      <c r="L321" s="7" t="n">
        <v>0</v>
      </c>
      <c r="M321" s="6" t="n">
        <v>0</v>
      </c>
      <c r="N321" s="6" t="n">
        <v>0</v>
      </c>
      <c r="O321" s="6" t="n">
        <f aca="false">K321-M321-N321</f>
        <v>19.9</v>
      </c>
      <c r="P321" s="7" t="n">
        <v>0.21</v>
      </c>
      <c r="Q321" s="6" t="n">
        <v>16.45</v>
      </c>
      <c r="R321" s="6" t="n">
        <f aca="false">O321-Q321</f>
        <v>3.45</v>
      </c>
      <c r="S321" s="6" t="n">
        <v>7</v>
      </c>
      <c r="T321" s="6" t="n">
        <f aca="false">Q321-S321</f>
        <v>9.45</v>
      </c>
      <c r="U321" s="7" t="n">
        <f aca="false">IF(Q321=0,0,T321/Q321)</f>
        <v>0.574468085106383</v>
      </c>
      <c r="V321" s="5" t="s">
        <v>138</v>
      </c>
      <c r="W321" s="5" t="s">
        <v>177</v>
      </c>
      <c r="X321" s="5" t="s">
        <v>132</v>
      </c>
    </row>
    <row r="322" customFormat="false" ht="15" hidden="false" customHeight="false" outlineLevel="0" collapsed="false">
      <c r="A322" s="2" t="n">
        <v>321</v>
      </c>
      <c r="B322" s="2" t="s">
        <v>378</v>
      </c>
      <c r="C322" s="12" t="n">
        <v>46048</v>
      </c>
      <c r="D322" s="2" t="s">
        <v>158</v>
      </c>
      <c r="E322" s="2" t="s">
        <v>24</v>
      </c>
      <c r="F322" s="2" t="s">
        <v>25</v>
      </c>
      <c r="G322" s="2" t="s">
        <v>22</v>
      </c>
      <c r="H322" s="2" t="s">
        <v>23</v>
      </c>
      <c r="I322" s="9" t="n">
        <v>1</v>
      </c>
      <c r="J322" s="3" t="n">
        <v>24.9</v>
      </c>
      <c r="K322" s="3" t="n">
        <v>24.9</v>
      </c>
      <c r="L322" s="4" t="n">
        <v>0.25</v>
      </c>
      <c r="M322" s="3" t="n">
        <v>6.22</v>
      </c>
      <c r="N322" s="3" t="n">
        <v>0</v>
      </c>
      <c r="O322" s="3" t="n">
        <f aca="false">K322-M322-N322</f>
        <v>18.68</v>
      </c>
      <c r="P322" s="4" t="n">
        <v>0.21</v>
      </c>
      <c r="Q322" s="3" t="n">
        <v>15.44</v>
      </c>
      <c r="R322" s="3" t="n">
        <f aca="false">O322-Q322</f>
        <v>3.24</v>
      </c>
      <c r="S322" s="3" t="n">
        <v>9.8</v>
      </c>
      <c r="T322" s="3" t="n">
        <f aca="false">Q322-S322</f>
        <v>5.64</v>
      </c>
      <c r="U322" s="4" t="n">
        <f aca="false">IF(Q322=0,0,T322/Q322)</f>
        <v>0.365284974093264</v>
      </c>
      <c r="V322" s="2" t="s">
        <v>138</v>
      </c>
      <c r="W322" s="2" t="s">
        <v>177</v>
      </c>
      <c r="X322" s="2" t="s">
        <v>132</v>
      </c>
    </row>
    <row r="323" customFormat="false" ht="15" hidden="false" customHeight="false" outlineLevel="0" collapsed="false">
      <c r="A323" s="5" t="n">
        <v>322</v>
      </c>
      <c r="B323" s="5" t="s">
        <v>379</v>
      </c>
      <c r="C323" s="13" t="n">
        <v>46048</v>
      </c>
      <c r="D323" s="5" t="s">
        <v>188</v>
      </c>
      <c r="E323" s="5" t="s">
        <v>31</v>
      </c>
      <c r="F323" s="5" t="s">
        <v>32</v>
      </c>
      <c r="G323" s="5" t="s">
        <v>33</v>
      </c>
      <c r="H323" s="5" t="s">
        <v>23</v>
      </c>
      <c r="I323" s="11" t="n">
        <v>2</v>
      </c>
      <c r="J323" s="6" t="n">
        <v>89.9</v>
      </c>
      <c r="K323" s="6" t="n">
        <v>179.8</v>
      </c>
      <c r="L323" s="7" t="n">
        <v>0</v>
      </c>
      <c r="M323" s="6" t="n">
        <v>0</v>
      </c>
      <c r="N323" s="6" t="n">
        <v>0</v>
      </c>
      <c r="O323" s="6" t="n">
        <f aca="false">K323-M323-N323</f>
        <v>179.8</v>
      </c>
      <c r="P323" s="7" t="n">
        <v>0.21</v>
      </c>
      <c r="Q323" s="6" t="n">
        <v>148.6</v>
      </c>
      <c r="R323" s="6" t="n">
        <f aca="false">O323-Q323</f>
        <v>31.2</v>
      </c>
      <c r="S323" s="6" t="n">
        <v>96</v>
      </c>
      <c r="T323" s="6" t="n">
        <f aca="false">Q323-S323</f>
        <v>52.6</v>
      </c>
      <c r="U323" s="7" t="n">
        <f aca="false">IF(Q323=0,0,T323/Q323)</f>
        <v>0.353970390309556</v>
      </c>
      <c r="V323" s="5" t="s">
        <v>148</v>
      </c>
      <c r="W323" s="5" t="s">
        <v>154</v>
      </c>
      <c r="X323" s="5" t="s">
        <v>132</v>
      </c>
    </row>
    <row r="324" customFormat="false" ht="15" hidden="false" customHeight="false" outlineLevel="0" collapsed="false">
      <c r="A324" s="2" t="n">
        <v>323</v>
      </c>
      <c r="B324" s="2" t="s">
        <v>379</v>
      </c>
      <c r="C324" s="12" t="n">
        <v>46048</v>
      </c>
      <c r="D324" s="2" t="s">
        <v>188</v>
      </c>
      <c r="E324" s="2" t="s">
        <v>40</v>
      </c>
      <c r="F324" s="2" t="s">
        <v>41</v>
      </c>
      <c r="G324" s="2" t="s">
        <v>38</v>
      </c>
      <c r="H324" s="2" t="s">
        <v>39</v>
      </c>
      <c r="I324" s="9" t="n">
        <v>2</v>
      </c>
      <c r="J324" s="3" t="n">
        <v>12.9</v>
      </c>
      <c r="K324" s="3" t="n">
        <v>25.8</v>
      </c>
      <c r="L324" s="4" t="n">
        <v>0.1</v>
      </c>
      <c r="M324" s="3" t="n">
        <v>2.58</v>
      </c>
      <c r="N324" s="3" t="n">
        <v>0</v>
      </c>
      <c r="O324" s="3" t="n">
        <f aca="false">K324-M324-N324</f>
        <v>23.22</v>
      </c>
      <c r="P324" s="4" t="n">
        <v>0.21</v>
      </c>
      <c r="Q324" s="3" t="n">
        <v>19.19</v>
      </c>
      <c r="R324" s="3" t="n">
        <f aca="false">O324-Q324</f>
        <v>4.03</v>
      </c>
      <c r="S324" s="3" t="n">
        <v>4.2</v>
      </c>
      <c r="T324" s="3" t="n">
        <f aca="false">Q324-S324</f>
        <v>14.99</v>
      </c>
      <c r="U324" s="4" t="n">
        <f aca="false">IF(Q324=0,0,T324/Q324)</f>
        <v>0.781136008337676</v>
      </c>
      <c r="V324" s="2" t="s">
        <v>148</v>
      </c>
      <c r="W324" s="2" t="s">
        <v>154</v>
      </c>
      <c r="X324" s="2" t="s">
        <v>132</v>
      </c>
    </row>
    <row r="325" customFormat="false" ht="15" hidden="false" customHeight="false" outlineLevel="0" collapsed="false">
      <c r="A325" s="5" t="n">
        <v>324</v>
      </c>
      <c r="B325" s="5" t="s">
        <v>380</v>
      </c>
      <c r="C325" s="13" t="n">
        <v>46049</v>
      </c>
      <c r="D325" s="5" t="s">
        <v>223</v>
      </c>
      <c r="E325" s="5" t="s">
        <v>49</v>
      </c>
      <c r="F325" s="5" t="s">
        <v>50</v>
      </c>
      <c r="G325" s="5" t="s">
        <v>51</v>
      </c>
      <c r="H325" s="5" t="s">
        <v>52</v>
      </c>
      <c r="I325" s="11" t="n">
        <v>3</v>
      </c>
      <c r="J325" s="6" t="n">
        <v>19.9</v>
      </c>
      <c r="K325" s="6" t="n">
        <v>59.7</v>
      </c>
      <c r="L325" s="7" t="n">
        <v>0</v>
      </c>
      <c r="M325" s="6" t="n">
        <v>0</v>
      </c>
      <c r="N325" s="6" t="n">
        <v>0</v>
      </c>
      <c r="O325" s="6" t="n">
        <f aca="false">K325-M325-N325</f>
        <v>59.7</v>
      </c>
      <c r="P325" s="7" t="n">
        <v>0.21</v>
      </c>
      <c r="Q325" s="6" t="n">
        <v>49.34</v>
      </c>
      <c r="R325" s="6" t="n">
        <f aca="false">O325-Q325</f>
        <v>10.36</v>
      </c>
      <c r="S325" s="6" t="n">
        <v>23.7</v>
      </c>
      <c r="T325" s="6" t="n">
        <f aca="false">Q325-S325</f>
        <v>25.64</v>
      </c>
      <c r="U325" s="7" t="n">
        <f aca="false">IF(Q325=0,0,T325/Q325)</f>
        <v>0.519659505472234</v>
      </c>
      <c r="V325" s="5" t="s">
        <v>138</v>
      </c>
      <c r="W325" s="5" t="s">
        <v>154</v>
      </c>
      <c r="X325" s="5" t="s">
        <v>132</v>
      </c>
    </row>
    <row r="326" customFormat="false" ht="15" hidden="false" customHeight="false" outlineLevel="0" collapsed="false">
      <c r="A326" s="2" t="n">
        <v>325</v>
      </c>
      <c r="B326" s="2" t="s">
        <v>380</v>
      </c>
      <c r="C326" s="12" t="n">
        <v>46049</v>
      </c>
      <c r="D326" s="2" t="s">
        <v>223</v>
      </c>
      <c r="E326" s="2" t="s">
        <v>16</v>
      </c>
      <c r="F326" s="2" t="s">
        <v>17</v>
      </c>
      <c r="G326" s="2" t="s">
        <v>13</v>
      </c>
      <c r="H326" s="2" t="s">
        <v>14</v>
      </c>
      <c r="I326" s="9" t="n">
        <v>1</v>
      </c>
      <c r="J326" s="3" t="n">
        <v>54.9</v>
      </c>
      <c r="K326" s="3" t="n">
        <v>54.9</v>
      </c>
      <c r="L326" s="4" t="n">
        <v>0.05</v>
      </c>
      <c r="M326" s="3" t="n">
        <v>2.74</v>
      </c>
      <c r="N326" s="3" t="n">
        <v>0</v>
      </c>
      <c r="O326" s="3" t="n">
        <f aca="false">K326-M326-N326</f>
        <v>52.16</v>
      </c>
      <c r="P326" s="4" t="n">
        <v>0.21</v>
      </c>
      <c r="Q326" s="3" t="n">
        <v>43.11</v>
      </c>
      <c r="R326" s="3" t="n">
        <f aca="false">O326-Q326</f>
        <v>9.05</v>
      </c>
      <c r="S326" s="3" t="n">
        <v>22</v>
      </c>
      <c r="T326" s="3" t="n">
        <f aca="false">Q326-S326</f>
        <v>21.11</v>
      </c>
      <c r="U326" s="4" t="n">
        <f aca="false">IF(Q326=0,0,T326/Q326)</f>
        <v>0.489677569009511</v>
      </c>
      <c r="V326" s="2" t="s">
        <v>138</v>
      </c>
      <c r="W326" s="2" t="s">
        <v>154</v>
      </c>
      <c r="X326" s="2" t="s">
        <v>132</v>
      </c>
    </row>
    <row r="327" customFormat="false" ht="15" hidden="false" customHeight="false" outlineLevel="0" collapsed="false">
      <c r="A327" s="5" t="n">
        <v>326</v>
      </c>
      <c r="B327" s="5" t="s">
        <v>381</v>
      </c>
      <c r="C327" s="13" t="n">
        <v>46050</v>
      </c>
      <c r="D327" s="5" t="s">
        <v>164</v>
      </c>
      <c r="E327" s="5" t="s">
        <v>24</v>
      </c>
      <c r="F327" s="5" t="s">
        <v>25</v>
      </c>
      <c r="G327" s="5" t="s">
        <v>22</v>
      </c>
      <c r="H327" s="5" t="s">
        <v>23</v>
      </c>
      <c r="I327" s="11" t="n">
        <v>1</v>
      </c>
      <c r="J327" s="6" t="n">
        <v>24.9</v>
      </c>
      <c r="K327" s="6" t="n">
        <v>24.9</v>
      </c>
      <c r="L327" s="7" t="n">
        <v>0.15</v>
      </c>
      <c r="M327" s="6" t="n">
        <v>3.74</v>
      </c>
      <c r="N327" s="6" t="n">
        <v>4.23</v>
      </c>
      <c r="O327" s="6" t="n">
        <f aca="false">K327-M327-N327</f>
        <v>16.93</v>
      </c>
      <c r="P327" s="7" t="n">
        <v>0.21</v>
      </c>
      <c r="Q327" s="6" t="n">
        <v>13.99</v>
      </c>
      <c r="R327" s="6" t="n">
        <f aca="false">O327-Q327</f>
        <v>2.94</v>
      </c>
      <c r="S327" s="6" t="n">
        <v>9.8</v>
      </c>
      <c r="T327" s="6" t="n">
        <f aca="false">Q327-S327</f>
        <v>4.19</v>
      </c>
      <c r="U327" s="7" t="n">
        <f aca="false">IF(Q327=0,0,T327/Q327)</f>
        <v>0.299499642601858</v>
      </c>
      <c r="V327" s="5" t="s">
        <v>138</v>
      </c>
      <c r="W327" s="5" t="s">
        <v>136</v>
      </c>
      <c r="X327" s="5" t="s">
        <v>132</v>
      </c>
    </row>
    <row r="328" customFormat="false" ht="15" hidden="false" customHeight="false" outlineLevel="0" collapsed="false">
      <c r="A328" s="2" t="n">
        <v>327</v>
      </c>
      <c r="B328" s="2" t="s">
        <v>382</v>
      </c>
      <c r="C328" s="12" t="n">
        <v>46050</v>
      </c>
      <c r="D328" s="2" t="s">
        <v>173</v>
      </c>
      <c r="E328" s="2" t="s">
        <v>87</v>
      </c>
      <c r="F328" s="2" t="s">
        <v>88</v>
      </c>
      <c r="G328" s="2" t="s">
        <v>85</v>
      </c>
      <c r="H328" s="2" t="s">
        <v>86</v>
      </c>
      <c r="I328" s="9" t="n">
        <v>1</v>
      </c>
      <c r="J328" s="3" t="n">
        <v>2.49</v>
      </c>
      <c r="K328" s="3" t="n">
        <v>2.49</v>
      </c>
      <c r="L328" s="4" t="n">
        <v>0</v>
      </c>
      <c r="M328" s="3" t="n">
        <v>0</v>
      </c>
      <c r="N328" s="3" t="n">
        <v>0</v>
      </c>
      <c r="O328" s="3" t="n">
        <f aca="false">K328-M328-N328</f>
        <v>2.49</v>
      </c>
      <c r="P328" s="4" t="n">
        <v>0.1</v>
      </c>
      <c r="Q328" s="3" t="n">
        <v>2.26</v>
      </c>
      <c r="R328" s="3" t="n">
        <f aca="false">O328-Q328</f>
        <v>0.23</v>
      </c>
      <c r="S328" s="3" t="n">
        <v>1.5</v>
      </c>
      <c r="T328" s="3" t="n">
        <f aca="false">Q328-S328</f>
        <v>0.76</v>
      </c>
      <c r="U328" s="4" t="n">
        <f aca="false">IF(Q328=0,0,T328/Q328)</f>
        <v>0.336283185840708</v>
      </c>
      <c r="V328" s="2" t="s">
        <v>138</v>
      </c>
      <c r="W328" s="2" t="s">
        <v>156</v>
      </c>
      <c r="X328" s="2" t="s">
        <v>132</v>
      </c>
    </row>
    <row r="329" customFormat="false" ht="15" hidden="false" customHeight="false" outlineLevel="0" collapsed="false">
      <c r="A329" s="5" t="n">
        <v>328</v>
      </c>
      <c r="B329" s="5" t="s">
        <v>382</v>
      </c>
      <c r="C329" s="13" t="n">
        <v>46050</v>
      </c>
      <c r="D329" s="5" t="s">
        <v>173</v>
      </c>
      <c r="E329" s="5" t="s">
        <v>83</v>
      </c>
      <c r="F329" s="5" t="s">
        <v>84</v>
      </c>
      <c r="G329" s="5" t="s">
        <v>85</v>
      </c>
      <c r="H329" s="5" t="s">
        <v>86</v>
      </c>
      <c r="I329" s="11" t="n">
        <v>8</v>
      </c>
      <c r="J329" s="6" t="n">
        <v>3.9</v>
      </c>
      <c r="K329" s="6" t="n">
        <v>31.2</v>
      </c>
      <c r="L329" s="7" t="n">
        <v>0.05</v>
      </c>
      <c r="M329" s="6" t="n">
        <v>1.56</v>
      </c>
      <c r="N329" s="6" t="n">
        <v>0</v>
      </c>
      <c r="O329" s="6" t="n">
        <f aca="false">K329-M329-N329</f>
        <v>29.64</v>
      </c>
      <c r="P329" s="7" t="n">
        <v>0.1</v>
      </c>
      <c r="Q329" s="6" t="n">
        <v>26.95</v>
      </c>
      <c r="R329" s="6" t="n">
        <f aca="false">O329-Q329</f>
        <v>2.69</v>
      </c>
      <c r="S329" s="6" t="n">
        <v>20</v>
      </c>
      <c r="T329" s="6" t="n">
        <f aca="false">Q329-S329</f>
        <v>6.95</v>
      </c>
      <c r="U329" s="7" t="n">
        <f aca="false">IF(Q329=0,0,T329/Q329)</f>
        <v>0.257884972170686</v>
      </c>
      <c r="V329" s="5" t="s">
        <v>138</v>
      </c>
      <c r="W329" s="5" t="s">
        <v>156</v>
      </c>
      <c r="X329" s="5" t="s">
        <v>132</v>
      </c>
    </row>
    <row r="330" customFormat="false" ht="15" hidden="false" customHeight="false" outlineLevel="0" collapsed="false">
      <c r="A330" s="2" t="n">
        <v>329</v>
      </c>
      <c r="B330" s="2" t="s">
        <v>383</v>
      </c>
      <c r="C330" s="12" t="n">
        <v>46051</v>
      </c>
      <c r="D330" s="2" t="s">
        <v>139</v>
      </c>
      <c r="E330" s="2" t="s">
        <v>67</v>
      </c>
      <c r="F330" s="2" t="s">
        <v>68</v>
      </c>
      <c r="G330" s="2" t="s">
        <v>65</v>
      </c>
      <c r="H330" s="2" t="s">
        <v>66</v>
      </c>
      <c r="I330" s="9" t="n">
        <v>2</v>
      </c>
      <c r="J330" s="3" t="n">
        <v>64.9</v>
      </c>
      <c r="K330" s="3" t="n">
        <v>129.8</v>
      </c>
      <c r="L330" s="4" t="n">
        <v>0</v>
      </c>
      <c r="M330" s="3" t="n">
        <v>0</v>
      </c>
      <c r="N330" s="3" t="n">
        <v>19.47</v>
      </c>
      <c r="O330" s="3" t="n">
        <f aca="false">K330-M330-N330</f>
        <v>110.33</v>
      </c>
      <c r="P330" s="4" t="n">
        <v>0.21</v>
      </c>
      <c r="Q330" s="3" t="n">
        <v>91.18</v>
      </c>
      <c r="R330" s="3" t="n">
        <f aca="false">O330-Q330</f>
        <v>19.15</v>
      </c>
      <c r="S330" s="3" t="n">
        <v>56</v>
      </c>
      <c r="T330" s="3" t="n">
        <f aca="false">Q330-S330</f>
        <v>35.18</v>
      </c>
      <c r="U330" s="4" t="n">
        <f aca="false">IF(Q330=0,0,T330/Q330)</f>
        <v>0.385830225926738</v>
      </c>
      <c r="V330" s="2" t="s">
        <v>126</v>
      </c>
      <c r="W330" s="2" t="s">
        <v>136</v>
      </c>
      <c r="X330" s="2" t="s">
        <v>132</v>
      </c>
    </row>
    <row r="331" customFormat="false" ht="15" hidden="false" customHeight="false" outlineLevel="0" collapsed="false">
      <c r="A331" s="5" t="n">
        <v>330</v>
      </c>
      <c r="B331" s="5" t="s">
        <v>384</v>
      </c>
      <c r="C331" s="13" t="n">
        <v>46053</v>
      </c>
      <c r="D331" s="5" t="s">
        <v>127</v>
      </c>
      <c r="E331" s="5" t="s">
        <v>31</v>
      </c>
      <c r="F331" s="5" t="s">
        <v>32</v>
      </c>
      <c r="G331" s="5" t="s">
        <v>33</v>
      </c>
      <c r="H331" s="5" t="s">
        <v>23</v>
      </c>
      <c r="I331" s="11" t="n">
        <v>3</v>
      </c>
      <c r="J331" s="6" t="n">
        <v>89.9</v>
      </c>
      <c r="K331" s="6" t="n">
        <v>269.7</v>
      </c>
      <c r="L331" s="7" t="n">
        <v>0.05</v>
      </c>
      <c r="M331" s="6" t="n">
        <v>13.48</v>
      </c>
      <c r="N331" s="6" t="n">
        <v>0</v>
      </c>
      <c r="O331" s="6" t="n">
        <f aca="false">K331-M331-N331</f>
        <v>256.22</v>
      </c>
      <c r="P331" s="7" t="n">
        <v>0.21</v>
      </c>
      <c r="Q331" s="6" t="n">
        <v>211.75</v>
      </c>
      <c r="R331" s="6" t="n">
        <f aca="false">O331-Q331</f>
        <v>44.47</v>
      </c>
      <c r="S331" s="6" t="n">
        <v>144</v>
      </c>
      <c r="T331" s="6" t="n">
        <f aca="false">Q331-S331</f>
        <v>67.75</v>
      </c>
      <c r="U331" s="7" t="n">
        <f aca="false">IF(Q331=0,0,T331/Q331)</f>
        <v>0.319952774498229</v>
      </c>
      <c r="V331" s="5" t="s">
        <v>148</v>
      </c>
      <c r="W331" s="5" t="s">
        <v>154</v>
      </c>
      <c r="X331" s="5" t="s">
        <v>132</v>
      </c>
    </row>
    <row r="332" customFormat="false" ht="15" hidden="false" customHeight="false" outlineLevel="0" collapsed="false">
      <c r="A332" s="2" t="n">
        <v>331</v>
      </c>
      <c r="B332" s="2" t="s">
        <v>385</v>
      </c>
      <c r="C332" s="12" t="n">
        <v>46053</v>
      </c>
      <c r="D332" s="2" t="s">
        <v>158</v>
      </c>
      <c r="E332" s="2" t="s">
        <v>34</v>
      </c>
      <c r="F332" s="2" t="s">
        <v>35</v>
      </c>
      <c r="G332" s="2" t="s">
        <v>30</v>
      </c>
      <c r="H332" s="2" t="s">
        <v>23</v>
      </c>
      <c r="I332" s="9" t="n">
        <v>1</v>
      </c>
      <c r="J332" s="3" t="n">
        <v>44.9</v>
      </c>
      <c r="K332" s="3" t="n">
        <v>44.9</v>
      </c>
      <c r="L332" s="4" t="n">
        <v>0</v>
      </c>
      <c r="M332" s="3" t="n">
        <v>0</v>
      </c>
      <c r="N332" s="3" t="n">
        <v>4.49</v>
      </c>
      <c r="O332" s="3" t="n">
        <f aca="false">K332-M332-N332</f>
        <v>40.41</v>
      </c>
      <c r="P332" s="4" t="n">
        <v>0.21</v>
      </c>
      <c r="Q332" s="3" t="n">
        <v>33.4</v>
      </c>
      <c r="R332" s="3" t="n">
        <f aca="false">O332-Q332</f>
        <v>7.01</v>
      </c>
      <c r="S332" s="3" t="n">
        <v>19</v>
      </c>
      <c r="T332" s="3" t="n">
        <f aca="false">Q332-S332</f>
        <v>14.4</v>
      </c>
      <c r="U332" s="4" t="n">
        <f aca="false">IF(Q332=0,0,T332/Q332)</f>
        <v>0.431137724550898</v>
      </c>
      <c r="V332" s="2" t="s">
        <v>193</v>
      </c>
      <c r="W332" s="2" t="s">
        <v>154</v>
      </c>
      <c r="X332" s="2" t="s">
        <v>132</v>
      </c>
    </row>
    <row r="333" customFormat="false" ht="15" hidden="false" customHeight="false" outlineLevel="0" collapsed="false">
      <c r="A333" s="5" t="n">
        <v>332</v>
      </c>
      <c r="B333" s="5" t="s">
        <v>386</v>
      </c>
      <c r="C333" s="13" t="n">
        <v>46053</v>
      </c>
      <c r="D333" s="5" t="s">
        <v>188</v>
      </c>
      <c r="E333" s="5" t="s">
        <v>31</v>
      </c>
      <c r="F333" s="5" t="s">
        <v>32</v>
      </c>
      <c r="G333" s="5" t="s">
        <v>33</v>
      </c>
      <c r="H333" s="5" t="s">
        <v>23</v>
      </c>
      <c r="I333" s="11" t="n">
        <v>2</v>
      </c>
      <c r="J333" s="6" t="n">
        <v>89.9</v>
      </c>
      <c r="K333" s="6" t="n">
        <v>179.8</v>
      </c>
      <c r="L333" s="7" t="n">
        <v>0</v>
      </c>
      <c r="M333" s="6" t="n">
        <v>0</v>
      </c>
      <c r="N333" s="6" t="n">
        <v>17.98</v>
      </c>
      <c r="O333" s="6" t="n">
        <f aca="false">K333-M333-N333</f>
        <v>161.82</v>
      </c>
      <c r="P333" s="7" t="n">
        <v>0.21</v>
      </c>
      <c r="Q333" s="6" t="n">
        <v>133.74</v>
      </c>
      <c r="R333" s="6" t="n">
        <f aca="false">O333-Q333</f>
        <v>28.08</v>
      </c>
      <c r="S333" s="6" t="n">
        <v>96</v>
      </c>
      <c r="T333" s="6" t="n">
        <f aca="false">Q333-S333</f>
        <v>37.74</v>
      </c>
      <c r="U333" s="7" t="n">
        <f aca="false">IF(Q333=0,0,T333/Q333)</f>
        <v>0.282189322566173</v>
      </c>
      <c r="V333" s="5" t="s">
        <v>148</v>
      </c>
      <c r="W333" s="5" t="s">
        <v>156</v>
      </c>
      <c r="X333" s="5" t="s">
        <v>176</v>
      </c>
    </row>
    <row r="334" customFormat="false" ht="15" hidden="false" customHeight="false" outlineLevel="0" collapsed="false">
      <c r="A334" s="2" t="n">
        <v>333</v>
      </c>
      <c r="B334" s="2" t="s">
        <v>387</v>
      </c>
      <c r="C334" s="12" t="n">
        <v>46056</v>
      </c>
      <c r="D334" s="2" t="s">
        <v>223</v>
      </c>
      <c r="E334" s="2" t="s">
        <v>96</v>
      </c>
      <c r="F334" s="2" t="s">
        <v>97</v>
      </c>
      <c r="G334" s="2" t="s">
        <v>94</v>
      </c>
      <c r="H334" s="2" t="s">
        <v>95</v>
      </c>
      <c r="I334" s="9" t="n">
        <v>2</v>
      </c>
      <c r="J334" s="3" t="n">
        <v>7.99</v>
      </c>
      <c r="K334" s="3" t="n">
        <v>15.98</v>
      </c>
      <c r="L334" s="4" t="n">
        <v>0</v>
      </c>
      <c r="M334" s="3" t="n">
        <v>0</v>
      </c>
      <c r="N334" s="3" t="n">
        <v>0</v>
      </c>
      <c r="O334" s="3" t="n">
        <f aca="false">K334-M334-N334</f>
        <v>15.98</v>
      </c>
      <c r="P334" s="4" t="n">
        <v>0.1</v>
      </c>
      <c r="Q334" s="3" t="n">
        <v>14.53</v>
      </c>
      <c r="R334" s="3" t="n">
        <f aca="false">O334-Q334</f>
        <v>1.45</v>
      </c>
      <c r="S334" s="3" t="n">
        <v>6.8</v>
      </c>
      <c r="T334" s="3" t="n">
        <f aca="false">Q334-S334</f>
        <v>7.73</v>
      </c>
      <c r="U334" s="4" t="n">
        <f aca="false">IF(Q334=0,0,T334/Q334)</f>
        <v>0.532002752924983</v>
      </c>
      <c r="V334" s="2" t="s">
        <v>138</v>
      </c>
      <c r="W334" s="2" t="s">
        <v>136</v>
      </c>
      <c r="X334" s="2" t="s">
        <v>132</v>
      </c>
    </row>
    <row r="335" customFormat="false" ht="15" hidden="false" customHeight="false" outlineLevel="0" collapsed="false">
      <c r="A335" s="5" t="n">
        <v>334</v>
      </c>
      <c r="B335" s="5" t="s">
        <v>388</v>
      </c>
      <c r="C335" s="13" t="n">
        <v>46058</v>
      </c>
      <c r="D335" s="5" t="s">
        <v>217</v>
      </c>
      <c r="E335" s="5" t="s">
        <v>98</v>
      </c>
      <c r="F335" s="5" t="s">
        <v>99</v>
      </c>
      <c r="G335" s="5" t="s">
        <v>94</v>
      </c>
      <c r="H335" s="5" t="s">
        <v>95</v>
      </c>
      <c r="I335" s="11" t="n">
        <v>1</v>
      </c>
      <c r="J335" s="6" t="n">
        <v>2.99</v>
      </c>
      <c r="K335" s="6" t="n">
        <v>2.99</v>
      </c>
      <c r="L335" s="7" t="n">
        <v>0</v>
      </c>
      <c r="M335" s="6" t="n">
        <v>0</v>
      </c>
      <c r="N335" s="6" t="n">
        <v>0.45</v>
      </c>
      <c r="O335" s="6" t="n">
        <f aca="false">K335-M335-N335</f>
        <v>2.54</v>
      </c>
      <c r="P335" s="7" t="n">
        <v>0.1</v>
      </c>
      <c r="Q335" s="6" t="n">
        <v>2.31</v>
      </c>
      <c r="R335" s="6" t="n">
        <f aca="false">O335-Q335</f>
        <v>0.23</v>
      </c>
      <c r="S335" s="6" t="n">
        <v>1.2</v>
      </c>
      <c r="T335" s="6" t="n">
        <f aca="false">Q335-S335</f>
        <v>1.11</v>
      </c>
      <c r="U335" s="7" t="n">
        <f aca="false">IF(Q335=0,0,T335/Q335)</f>
        <v>0.480519480519481</v>
      </c>
      <c r="V335" s="5" t="s">
        <v>148</v>
      </c>
      <c r="W335" s="5" t="s">
        <v>154</v>
      </c>
      <c r="X335" s="5" t="s">
        <v>132</v>
      </c>
    </row>
    <row r="336" customFormat="false" ht="15" hidden="false" customHeight="false" outlineLevel="0" collapsed="false">
      <c r="A336" s="2" t="n">
        <v>335</v>
      </c>
      <c r="B336" s="2" t="s">
        <v>389</v>
      </c>
      <c r="C336" s="12" t="n">
        <v>46059</v>
      </c>
      <c r="D336" s="2" t="s">
        <v>127</v>
      </c>
      <c r="E336" s="2" t="s">
        <v>55</v>
      </c>
      <c r="F336" s="2" t="s">
        <v>56</v>
      </c>
      <c r="G336" s="2" t="s">
        <v>51</v>
      </c>
      <c r="H336" s="2" t="s">
        <v>52</v>
      </c>
      <c r="I336" s="9" t="n">
        <v>2</v>
      </c>
      <c r="J336" s="3" t="n">
        <v>119</v>
      </c>
      <c r="K336" s="3" t="n">
        <v>238</v>
      </c>
      <c r="L336" s="4" t="n">
        <v>0</v>
      </c>
      <c r="M336" s="3" t="n">
        <v>0</v>
      </c>
      <c r="N336" s="3" t="n">
        <v>0</v>
      </c>
      <c r="O336" s="3" t="n">
        <f aca="false">K336-M336-N336</f>
        <v>238</v>
      </c>
      <c r="P336" s="4" t="n">
        <v>0.21</v>
      </c>
      <c r="Q336" s="3" t="n">
        <v>196.69</v>
      </c>
      <c r="R336" s="3" t="n">
        <f aca="false">O336-Q336</f>
        <v>41.31</v>
      </c>
      <c r="S336" s="3" t="n">
        <v>110</v>
      </c>
      <c r="T336" s="3" t="n">
        <f aca="false">Q336-S336</f>
        <v>86.69</v>
      </c>
      <c r="U336" s="4" t="n">
        <f aca="false">IF(Q336=0,0,T336/Q336)</f>
        <v>0.44074431847069</v>
      </c>
      <c r="V336" s="2" t="s">
        <v>126</v>
      </c>
      <c r="W336" s="2" t="s">
        <v>177</v>
      </c>
      <c r="X336" s="2" t="s">
        <v>132</v>
      </c>
    </row>
    <row r="337" customFormat="false" ht="15" hidden="false" customHeight="false" outlineLevel="0" collapsed="false">
      <c r="A337" s="5" t="n">
        <v>336</v>
      </c>
      <c r="B337" s="5" t="s">
        <v>390</v>
      </c>
      <c r="C337" s="13" t="n">
        <v>46060</v>
      </c>
      <c r="D337" s="5" t="s">
        <v>173</v>
      </c>
      <c r="E337" s="5" t="s">
        <v>20</v>
      </c>
      <c r="F337" s="5" t="s">
        <v>21</v>
      </c>
      <c r="G337" s="5" t="s">
        <v>22</v>
      </c>
      <c r="H337" s="5" t="s">
        <v>23</v>
      </c>
      <c r="I337" s="11" t="n">
        <v>1</v>
      </c>
      <c r="J337" s="6" t="n">
        <v>799</v>
      </c>
      <c r="K337" s="6" t="n">
        <v>799</v>
      </c>
      <c r="L337" s="7" t="n">
        <v>0.1</v>
      </c>
      <c r="M337" s="6" t="n">
        <v>79.9</v>
      </c>
      <c r="N337" s="6" t="n">
        <v>0</v>
      </c>
      <c r="O337" s="6" t="n">
        <f aca="false">K337-M337-N337</f>
        <v>719.1</v>
      </c>
      <c r="P337" s="7" t="n">
        <v>0.21</v>
      </c>
      <c r="Q337" s="6" t="n">
        <v>594.3</v>
      </c>
      <c r="R337" s="6" t="n">
        <f aca="false">O337-Q337</f>
        <v>124.8</v>
      </c>
      <c r="S337" s="6" t="n">
        <v>550</v>
      </c>
      <c r="T337" s="6" t="n">
        <f aca="false">Q337-S337</f>
        <v>44.3</v>
      </c>
      <c r="U337" s="7" t="n">
        <f aca="false">IF(Q337=0,0,T337/Q337)</f>
        <v>0.0745414773683324</v>
      </c>
      <c r="V337" s="5" t="s">
        <v>138</v>
      </c>
      <c r="W337" s="5" t="s">
        <v>154</v>
      </c>
      <c r="X337" s="5" t="s">
        <v>185</v>
      </c>
    </row>
    <row r="338" customFormat="false" ht="15" hidden="false" customHeight="false" outlineLevel="0" collapsed="false">
      <c r="A338" s="2" t="n">
        <v>337</v>
      </c>
      <c r="B338" s="2" t="s">
        <v>391</v>
      </c>
      <c r="C338" s="12" t="n">
        <v>46060</v>
      </c>
      <c r="D338" s="2" t="s">
        <v>158</v>
      </c>
      <c r="E338" s="2" t="s">
        <v>34</v>
      </c>
      <c r="F338" s="2" t="s">
        <v>35</v>
      </c>
      <c r="G338" s="2" t="s">
        <v>30</v>
      </c>
      <c r="H338" s="2" t="s">
        <v>23</v>
      </c>
      <c r="I338" s="9" t="n">
        <v>1</v>
      </c>
      <c r="J338" s="3" t="n">
        <v>44.9</v>
      </c>
      <c r="K338" s="3" t="n">
        <v>44.9</v>
      </c>
      <c r="L338" s="4" t="n">
        <v>0</v>
      </c>
      <c r="M338" s="3" t="n">
        <v>0</v>
      </c>
      <c r="N338" s="3" t="n">
        <v>4.49</v>
      </c>
      <c r="O338" s="3" t="n">
        <f aca="false">K338-M338-N338</f>
        <v>40.41</v>
      </c>
      <c r="P338" s="4" t="n">
        <v>0.21</v>
      </c>
      <c r="Q338" s="3" t="n">
        <v>33.4</v>
      </c>
      <c r="R338" s="3" t="n">
        <f aca="false">O338-Q338</f>
        <v>7.01</v>
      </c>
      <c r="S338" s="3" t="n">
        <v>19</v>
      </c>
      <c r="T338" s="3" t="n">
        <f aca="false">Q338-S338</f>
        <v>14.4</v>
      </c>
      <c r="U338" s="4" t="n">
        <f aca="false">IF(Q338=0,0,T338/Q338)</f>
        <v>0.431137724550898</v>
      </c>
      <c r="V338" s="2" t="s">
        <v>126</v>
      </c>
      <c r="W338" s="2" t="s">
        <v>156</v>
      </c>
      <c r="X338" s="2" t="s">
        <v>132</v>
      </c>
    </row>
    <row r="339" customFormat="false" ht="15" hidden="false" customHeight="false" outlineLevel="0" collapsed="false">
      <c r="A339" s="5" t="n">
        <v>338</v>
      </c>
      <c r="B339" s="5" t="s">
        <v>392</v>
      </c>
      <c r="C339" s="13" t="n">
        <v>46061</v>
      </c>
      <c r="D339" s="5" t="s">
        <v>217</v>
      </c>
      <c r="E339" s="5" t="s">
        <v>96</v>
      </c>
      <c r="F339" s="5" t="s">
        <v>97</v>
      </c>
      <c r="G339" s="5" t="s">
        <v>94</v>
      </c>
      <c r="H339" s="5" t="s">
        <v>95</v>
      </c>
      <c r="I339" s="11" t="n">
        <v>1</v>
      </c>
      <c r="J339" s="6" t="n">
        <v>7.99</v>
      </c>
      <c r="K339" s="6" t="n">
        <v>7.99</v>
      </c>
      <c r="L339" s="7" t="n">
        <v>0</v>
      </c>
      <c r="M339" s="6" t="n">
        <v>0</v>
      </c>
      <c r="N339" s="6" t="n">
        <v>0</v>
      </c>
      <c r="O339" s="6" t="n">
        <f aca="false">K339-M339-N339</f>
        <v>7.99</v>
      </c>
      <c r="P339" s="7" t="n">
        <v>0.1</v>
      </c>
      <c r="Q339" s="6" t="n">
        <v>7.26</v>
      </c>
      <c r="R339" s="6" t="n">
        <f aca="false">O339-Q339</f>
        <v>0.73</v>
      </c>
      <c r="S339" s="6" t="n">
        <v>3.4</v>
      </c>
      <c r="T339" s="6" t="n">
        <f aca="false">Q339-S339</f>
        <v>3.86</v>
      </c>
      <c r="U339" s="7" t="n">
        <f aca="false">IF(Q339=0,0,T339/Q339)</f>
        <v>0.53168044077135</v>
      </c>
      <c r="V339" s="5" t="s">
        <v>148</v>
      </c>
      <c r="W339" s="5" t="s">
        <v>177</v>
      </c>
      <c r="X339" s="5" t="s">
        <v>132</v>
      </c>
    </row>
    <row r="340" customFormat="false" ht="15" hidden="false" customHeight="false" outlineLevel="0" collapsed="false">
      <c r="A340" s="2" t="n">
        <v>339</v>
      </c>
      <c r="B340" s="2" t="s">
        <v>392</v>
      </c>
      <c r="C340" s="12" t="n">
        <v>46061</v>
      </c>
      <c r="D340" s="2" t="s">
        <v>217</v>
      </c>
      <c r="E340" s="2" t="s">
        <v>49</v>
      </c>
      <c r="F340" s="2" t="s">
        <v>50</v>
      </c>
      <c r="G340" s="2" t="s">
        <v>51</v>
      </c>
      <c r="H340" s="2" t="s">
        <v>52</v>
      </c>
      <c r="I340" s="9" t="n">
        <v>2</v>
      </c>
      <c r="J340" s="3" t="n">
        <v>19.9</v>
      </c>
      <c r="K340" s="3" t="n">
        <v>39.8</v>
      </c>
      <c r="L340" s="4" t="n">
        <v>0</v>
      </c>
      <c r="M340" s="3" t="n">
        <v>0</v>
      </c>
      <c r="N340" s="3" t="n">
        <v>0</v>
      </c>
      <c r="O340" s="3" t="n">
        <f aca="false">K340-M340-N340</f>
        <v>39.8</v>
      </c>
      <c r="P340" s="4" t="n">
        <v>0.21</v>
      </c>
      <c r="Q340" s="3" t="n">
        <v>32.89</v>
      </c>
      <c r="R340" s="3" t="n">
        <f aca="false">O340-Q340</f>
        <v>6.91</v>
      </c>
      <c r="S340" s="3" t="n">
        <v>15.8</v>
      </c>
      <c r="T340" s="3" t="n">
        <f aca="false">Q340-S340</f>
        <v>17.09</v>
      </c>
      <c r="U340" s="4" t="n">
        <f aca="false">IF(Q340=0,0,T340/Q340)</f>
        <v>0.51961082395865</v>
      </c>
      <c r="V340" s="2" t="s">
        <v>148</v>
      </c>
      <c r="W340" s="2" t="s">
        <v>177</v>
      </c>
      <c r="X340" s="2" t="s">
        <v>132</v>
      </c>
    </row>
    <row r="341" customFormat="false" ht="15" hidden="false" customHeight="false" outlineLevel="0" collapsed="false">
      <c r="A341" s="5" t="n">
        <v>340</v>
      </c>
      <c r="B341" s="5" t="s">
        <v>393</v>
      </c>
      <c r="C341" s="13" t="n">
        <v>46062</v>
      </c>
      <c r="D341" s="5" t="s">
        <v>158</v>
      </c>
      <c r="E341" s="5" t="s">
        <v>20</v>
      </c>
      <c r="F341" s="5" t="s">
        <v>21</v>
      </c>
      <c r="G341" s="5" t="s">
        <v>22</v>
      </c>
      <c r="H341" s="5" t="s">
        <v>23</v>
      </c>
      <c r="I341" s="11" t="n">
        <v>3</v>
      </c>
      <c r="J341" s="6" t="n">
        <v>799</v>
      </c>
      <c r="K341" s="6" t="n">
        <v>2397</v>
      </c>
      <c r="L341" s="7" t="n">
        <v>0</v>
      </c>
      <c r="M341" s="6" t="n">
        <v>0</v>
      </c>
      <c r="N341" s="6" t="n">
        <v>479.4</v>
      </c>
      <c r="O341" s="6" t="n">
        <f aca="false">K341-M341-N341</f>
        <v>1917.6</v>
      </c>
      <c r="P341" s="7" t="n">
        <v>0.21</v>
      </c>
      <c r="Q341" s="6" t="n">
        <v>1584.79</v>
      </c>
      <c r="R341" s="6" t="n">
        <f aca="false">O341-Q341</f>
        <v>332.81</v>
      </c>
      <c r="S341" s="6" t="n">
        <v>1650</v>
      </c>
      <c r="T341" s="6" t="n">
        <f aca="false">Q341-S341</f>
        <v>-65.21</v>
      </c>
      <c r="U341" s="7" t="n">
        <f aca="false">IF(Q341=0,0,T341/Q341)</f>
        <v>-0.0411474075429552</v>
      </c>
      <c r="V341" s="5" t="s">
        <v>138</v>
      </c>
      <c r="W341" s="5" t="s">
        <v>156</v>
      </c>
      <c r="X341" s="5" t="s">
        <v>185</v>
      </c>
    </row>
    <row r="342" customFormat="false" ht="15" hidden="false" customHeight="false" outlineLevel="0" collapsed="false">
      <c r="A342" s="2" t="n">
        <v>341</v>
      </c>
      <c r="B342" s="2" t="s">
        <v>393</v>
      </c>
      <c r="C342" s="12" t="n">
        <v>46062</v>
      </c>
      <c r="D342" s="2" t="s">
        <v>158</v>
      </c>
      <c r="E342" s="2" t="s">
        <v>61</v>
      </c>
      <c r="F342" s="2" t="s">
        <v>62</v>
      </c>
      <c r="G342" s="2" t="s">
        <v>59</v>
      </c>
      <c r="H342" s="2" t="s">
        <v>60</v>
      </c>
      <c r="I342" s="9" t="n">
        <v>1</v>
      </c>
      <c r="J342" s="3" t="n">
        <v>18.9</v>
      </c>
      <c r="K342" s="3" t="n">
        <v>18.9</v>
      </c>
      <c r="L342" s="4" t="n">
        <v>0</v>
      </c>
      <c r="M342" s="3" t="n">
        <v>0</v>
      </c>
      <c r="N342" s="3" t="n">
        <v>3.78</v>
      </c>
      <c r="O342" s="3" t="n">
        <f aca="false">K342-M342-N342</f>
        <v>15.12</v>
      </c>
      <c r="P342" s="4" t="n">
        <v>0.21</v>
      </c>
      <c r="Q342" s="3" t="n">
        <v>12.5</v>
      </c>
      <c r="R342" s="3" t="n">
        <f aca="false">O342-Q342</f>
        <v>2.62</v>
      </c>
      <c r="S342" s="3" t="n">
        <v>6.5</v>
      </c>
      <c r="T342" s="3" t="n">
        <f aca="false">Q342-S342</f>
        <v>6</v>
      </c>
      <c r="U342" s="4" t="n">
        <f aca="false">IF(Q342=0,0,T342/Q342)</f>
        <v>0.48</v>
      </c>
      <c r="V342" s="2" t="s">
        <v>138</v>
      </c>
      <c r="W342" s="2" t="s">
        <v>156</v>
      </c>
      <c r="X342" s="2" t="s">
        <v>185</v>
      </c>
    </row>
    <row r="343" customFormat="false" ht="15" hidden="false" customHeight="false" outlineLevel="0" collapsed="false">
      <c r="A343" s="5" t="n">
        <v>342</v>
      </c>
      <c r="B343" s="5" t="s">
        <v>394</v>
      </c>
      <c r="C343" s="13" t="n">
        <v>46064</v>
      </c>
      <c r="D343" s="5" t="s">
        <v>149</v>
      </c>
      <c r="E343" s="5" t="s">
        <v>18</v>
      </c>
      <c r="F343" s="5" t="s">
        <v>19</v>
      </c>
      <c r="G343" s="5" t="s">
        <v>13</v>
      </c>
      <c r="H343" s="5" t="s">
        <v>14</v>
      </c>
      <c r="I343" s="11" t="n">
        <v>2</v>
      </c>
      <c r="J343" s="6" t="n">
        <v>199</v>
      </c>
      <c r="K343" s="6" t="n">
        <v>398</v>
      </c>
      <c r="L343" s="7" t="n">
        <v>0.05</v>
      </c>
      <c r="M343" s="6" t="n">
        <v>19.9</v>
      </c>
      <c r="N343" s="6" t="n">
        <v>0</v>
      </c>
      <c r="O343" s="6" t="n">
        <f aca="false">K343-M343-N343</f>
        <v>378.1</v>
      </c>
      <c r="P343" s="7" t="n">
        <v>0.21</v>
      </c>
      <c r="Q343" s="6" t="n">
        <v>312.48</v>
      </c>
      <c r="R343" s="6" t="n">
        <f aca="false">O343-Q343</f>
        <v>65.62</v>
      </c>
      <c r="S343" s="6" t="n">
        <v>190</v>
      </c>
      <c r="T343" s="6" t="n">
        <f aca="false">Q343-S343</f>
        <v>122.48</v>
      </c>
      <c r="U343" s="7" t="n">
        <f aca="false">IF(Q343=0,0,T343/Q343)</f>
        <v>0.391961085509473</v>
      </c>
      <c r="V343" s="5" t="s">
        <v>172</v>
      </c>
      <c r="W343" s="5" t="s">
        <v>177</v>
      </c>
      <c r="X343" s="5" t="s">
        <v>132</v>
      </c>
    </row>
    <row r="344" customFormat="false" ht="15" hidden="false" customHeight="false" outlineLevel="0" collapsed="false">
      <c r="A344" s="2" t="n">
        <v>343</v>
      </c>
      <c r="B344" s="2" t="s">
        <v>394</v>
      </c>
      <c r="C344" s="12" t="n">
        <v>46064</v>
      </c>
      <c r="D344" s="2" t="s">
        <v>149</v>
      </c>
      <c r="E344" s="2" t="s">
        <v>31</v>
      </c>
      <c r="F344" s="2" t="s">
        <v>32</v>
      </c>
      <c r="G344" s="2" t="s">
        <v>33</v>
      </c>
      <c r="H344" s="2" t="s">
        <v>23</v>
      </c>
      <c r="I344" s="9" t="n">
        <v>1</v>
      </c>
      <c r="J344" s="3" t="n">
        <v>89.9</v>
      </c>
      <c r="K344" s="3" t="n">
        <v>89.9</v>
      </c>
      <c r="L344" s="4" t="n">
        <v>0</v>
      </c>
      <c r="M344" s="3" t="n">
        <v>0</v>
      </c>
      <c r="N344" s="3" t="n">
        <v>0</v>
      </c>
      <c r="O344" s="3" t="n">
        <f aca="false">K344-M344-N344</f>
        <v>89.9</v>
      </c>
      <c r="P344" s="4" t="n">
        <v>0.21</v>
      </c>
      <c r="Q344" s="3" t="n">
        <v>74.3</v>
      </c>
      <c r="R344" s="3" t="n">
        <f aca="false">O344-Q344</f>
        <v>15.6</v>
      </c>
      <c r="S344" s="3" t="n">
        <v>48</v>
      </c>
      <c r="T344" s="3" t="n">
        <f aca="false">Q344-S344</f>
        <v>26.3</v>
      </c>
      <c r="U344" s="4" t="n">
        <f aca="false">IF(Q344=0,0,T344/Q344)</f>
        <v>0.353970390309556</v>
      </c>
      <c r="V344" s="2" t="s">
        <v>172</v>
      </c>
      <c r="W344" s="2" t="s">
        <v>177</v>
      </c>
      <c r="X344" s="2" t="s">
        <v>132</v>
      </c>
    </row>
    <row r="345" customFormat="false" ht="15" hidden="false" customHeight="false" outlineLevel="0" collapsed="false">
      <c r="A345" s="5" t="n">
        <v>344</v>
      </c>
      <c r="B345" s="5" t="s">
        <v>394</v>
      </c>
      <c r="C345" s="13" t="n">
        <v>46064</v>
      </c>
      <c r="D345" s="5" t="s">
        <v>149</v>
      </c>
      <c r="E345" s="5" t="s">
        <v>89</v>
      </c>
      <c r="F345" s="5" t="s">
        <v>90</v>
      </c>
      <c r="G345" s="5" t="s">
        <v>91</v>
      </c>
      <c r="H345" s="5" t="s">
        <v>86</v>
      </c>
      <c r="I345" s="11" t="n">
        <v>3</v>
      </c>
      <c r="J345" s="6" t="n">
        <v>4.99</v>
      </c>
      <c r="K345" s="6" t="n">
        <v>14.97</v>
      </c>
      <c r="L345" s="7" t="n">
        <v>0.1</v>
      </c>
      <c r="M345" s="6" t="n">
        <v>1.5</v>
      </c>
      <c r="N345" s="6" t="n">
        <v>0</v>
      </c>
      <c r="O345" s="6" t="n">
        <f aca="false">K345-M345-N345</f>
        <v>13.47</v>
      </c>
      <c r="P345" s="7" t="n">
        <v>0.1</v>
      </c>
      <c r="Q345" s="6" t="n">
        <v>12.25</v>
      </c>
      <c r="R345" s="6" t="n">
        <f aca="false">O345-Q345</f>
        <v>1.22</v>
      </c>
      <c r="S345" s="6" t="n">
        <v>6.9</v>
      </c>
      <c r="T345" s="6" t="n">
        <f aca="false">Q345-S345</f>
        <v>5.35</v>
      </c>
      <c r="U345" s="7" t="n">
        <f aca="false">IF(Q345=0,0,T345/Q345)</f>
        <v>0.436734693877551</v>
      </c>
      <c r="V345" s="5" t="s">
        <v>172</v>
      </c>
      <c r="W345" s="5" t="s">
        <v>177</v>
      </c>
      <c r="X345" s="5" t="s">
        <v>132</v>
      </c>
    </row>
    <row r="346" customFormat="false" ht="15" hidden="false" customHeight="false" outlineLevel="0" collapsed="false">
      <c r="A346" s="2" t="n">
        <v>345</v>
      </c>
      <c r="B346" s="2" t="s">
        <v>395</v>
      </c>
      <c r="C346" s="12" t="n">
        <v>46066</v>
      </c>
      <c r="D346" s="2" t="s">
        <v>202</v>
      </c>
      <c r="E346" s="2" t="s">
        <v>16</v>
      </c>
      <c r="F346" s="2" t="s">
        <v>17</v>
      </c>
      <c r="G346" s="2" t="s">
        <v>13</v>
      </c>
      <c r="H346" s="2" t="s">
        <v>14</v>
      </c>
      <c r="I346" s="9" t="n">
        <v>1</v>
      </c>
      <c r="J346" s="3" t="n">
        <v>54.9</v>
      </c>
      <c r="K346" s="3" t="n">
        <v>54.9</v>
      </c>
      <c r="L346" s="4" t="n">
        <v>0</v>
      </c>
      <c r="M346" s="3" t="n">
        <v>0</v>
      </c>
      <c r="N346" s="3" t="n">
        <v>5.49</v>
      </c>
      <c r="O346" s="3" t="n">
        <f aca="false">K346-M346-N346</f>
        <v>49.41</v>
      </c>
      <c r="P346" s="4" t="n">
        <v>0.21</v>
      </c>
      <c r="Q346" s="3" t="n">
        <v>40.83</v>
      </c>
      <c r="R346" s="3" t="n">
        <f aca="false">O346-Q346</f>
        <v>8.58</v>
      </c>
      <c r="S346" s="3" t="n">
        <v>22</v>
      </c>
      <c r="T346" s="3" t="n">
        <f aca="false">Q346-S346</f>
        <v>18.83</v>
      </c>
      <c r="U346" s="4" t="n">
        <f aca="false">IF(Q346=0,0,T346/Q346)</f>
        <v>0.461180504530982</v>
      </c>
      <c r="V346" s="2" t="s">
        <v>193</v>
      </c>
      <c r="W346" s="2" t="s">
        <v>177</v>
      </c>
      <c r="X346" s="2" t="s">
        <v>132</v>
      </c>
    </row>
    <row r="347" customFormat="false" ht="15" hidden="false" customHeight="false" outlineLevel="0" collapsed="false">
      <c r="A347" s="5" t="n">
        <v>346</v>
      </c>
      <c r="B347" s="5" t="s">
        <v>396</v>
      </c>
      <c r="C347" s="13" t="n">
        <v>46066</v>
      </c>
      <c r="D347" s="5" t="s">
        <v>223</v>
      </c>
      <c r="E347" s="5" t="s">
        <v>11</v>
      </c>
      <c r="F347" s="5" t="s">
        <v>12</v>
      </c>
      <c r="G347" s="5" t="s">
        <v>13</v>
      </c>
      <c r="H347" s="5" t="s">
        <v>14</v>
      </c>
      <c r="I347" s="11" t="n">
        <v>1</v>
      </c>
      <c r="J347" s="6" t="n">
        <v>89.9</v>
      </c>
      <c r="K347" s="6" t="n">
        <v>89.9</v>
      </c>
      <c r="L347" s="7" t="n">
        <v>0</v>
      </c>
      <c r="M347" s="6" t="n">
        <v>0</v>
      </c>
      <c r="N347" s="6" t="n">
        <v>0</v>
      </c>
      <c r="O347" s="6" t="n">
        <f aca="false">K347-M347-N347</f>
        <v>89.9</v>
      </c>
      <c r="P347" s="7" t="n">
        <v>0.21</v>
      </c>
      <c r="Q347" s="6" t="n">
        <v>74.3</v>
      </c>
      <c r="R347" s="6" t="n">
        <f aca="false">O347-Q347</f>
        <v>15.6</v>
      </c>
      <c r="S347" s="6" t="n">
        <v>38.5</v>
      </c>
      <c r="T347" s="6" t="n">
        <f aca="false">Q347-S347</f>
        <v>35.8</v>
      </c>
      <c r="U347" s="7" t="n">
        <f aca="false">IF(Q347=0,0,T347/Q347)</f>
        <v>0.481830417227456</v>
      </c>
      <c r="V347" s="5" t="s">
        <v>172</v>
      </c>
      <c r="W347" s="5" t="s">
        <v>136</v>
      </c>
      <c r="X347" s="5" t="s">
        <v>132</v>
      </c>
    </row>
    <row r="348" customFormat="false" ht="15" hidden="false" customHeight="false" outlineLevel="0" collapsed="false">
      <c r="A348" s="2" t="n">
        <v>347</v>
      </c>
      <c r="B348" s="2" t="s">
        <v>397</v>
      </c>
      <c r="C348" s="12" t="n">
        <v>46067</v>
      </c>
      <c r="D348" s="2" t="s">
        <v>173</v>
      </c>
      <c r="E348" s="2" t="s">
        <v>45</v>
      </c>
      <c r="F348" s="2" t="s">
        <v>46</v>
      </c>
      <c r="G348" s="2" t="s">
        <v>38</v>
      </c>
      <c r="H348" s="2" t="s">
        <v>39</v>
      </c>
      <c r="I348" s="9" t="n">
        <v>1</v>
      </c>
      <c r="J348" s="3" t="n">
        <v>79.9</v>
      </c>
      <c r="K348" s="3" t="n">
        <v>79.9</v>
      </c>
      <c r="L348" s="4" t="n">
        <v>0</v>
      </c>
      <c r="M348" s="3" t="n">
        <v>0</v>
      </c>
      <c r="N348" s="3" t="n">
        <v>0</v>
      </c>
      <c r="O348" s="3" t="n">
        <f aca="false">K348-M348-N348</f>
        <v>79.9</v>
      </c>
      <c r="P348" s="4" t="n">
        <v>0.21</v>
      </c>
      <c r="Q348" s="3" t="n">
        <v>66.03</v>
      </c>
      <c r="R348" s="3" t="n">
        <f aca="false">O348-Q348</f>
        <v>13.87</v>
      </c>
      <c r="S348" s="3" t="n">
        <v>32</v>
      </c>
      <c r="T348" s="3" t="n">
        <f aca="false">Q348-S348</f>
        <v>34.03</v>
      </c>
      <c r="U348" s="4" t="n">
        <f aca="false">IF(Q348=0,0,T348/Q348)</f>
        <v>0.515371800696653</v>
      </c>
      <c r="V348" s="2" t="s">
        <v>126</v>
      </c>
      <c r="W348" s="2" t="s">
        <v>154</v>
      </c>
      <c r="X348" s="2" t="s">
        <v>132</v>
      </c>
    </row>
    <row r="349" customFormat="false" ht="15" hidden="false" customHeight="false" outlineLevel="0" collapsed="false">
      <c r="A349" s="5" t="n">
        <v>348</v>
      </c>
      <c r="B349" s="5" t="s">
        <v>398</v>
      </c>
      <c r="C349" s="13" t="n">
        <v>46069</v>
      </c>
      <c r="D349" s="5" t="s">
        <v>164</v>
      </c>
      <c r="E349" s="5" t="s">
        <v>96</v>
      </c>
      <c r="F349" s="5" t="s">
        <v>97</v>
      </c>
      <c r="G349" s="5" t="s">
        <v>94</v>
      </c>
      <c r="H349" s="5" t="s">
        <v>95</v>
      </c>
      <c r="I349" s="11" t="n">
        <v>3</v>
      </c>
      <c r="J349" s="6" t="n">
        <v>7.99</v>
      </c>
      <c r="K349" s="6" t="n">
        <v>23.97</v>
      </c>
      <c r="L349" s="7" t="n">
        <v>0</v>
      </c>
      <c r="M349" s="6" t="n">
        <v>0</v>
      </c>
      <c r="N349" s="6" t="n">
        <v>4.79</v>
      </c>
      <c r="O349" s="6" t="n">
        <f aca="false">K349-M349-N349</f>
        <v>19.18</v>
      </c>
      <c r="P349" s="7" t="n">
        <v>0.1</v>
      </c>
      <c r="Q349" s="6" t="n">
        <v>17.44</v>
      </c>
      <c r="R349" s="6" t="n">
        <f aca="false">O349-Q349</f>
        <v>1.74</v>
      </c>
      <c r="S349" s="6" t="n">
        <v>10.2</v>
      </c>
      <c r="T349" s="6" t="n">
        <f aca="false">Q349-S349</f>
        <v>7.24</v>
      </c>
      <c r="U349" s="7" t="n">
        <f aca="false">IF(Q349=0,0,T349/Q349)</f>
        <v>0.415137614678899</v>
      </c>
      <c r="V349" s="5" t="s">
        <v>126</v>
      </c>
      <c r="W349" s="5" t="s">
        <v>136</v>
      </c>
      <c r="X349" s="5" t="s">
        <v>132</v>
      </c>
    </row>
    <row r="350" customFormat="false" ht="15" hidden="false" customHeight="false" outlineLevel="0" collapsed="false">
      <c r="A350" s="2" t="n">
        <v>349</v>
      </c>
      <c r="B350" s="2" t="s">
        <v>399</v>
      </c>
      <c r="C350" s="12" t="n">
        <v>46069</v>
      </c>
      <c r="D350" s="2" t="s">
        <v>173</v>
      </c>
      <c r="E350" s="2" t="s">
        <v>20</v>
      </c>
      <c r="F350" s="2" t="s">
        <v>21</v>
      </c>
      <c r="G350" s="2" t="s">
        <v>22</v>
      </c>
      <c r="H350" s="2" t="s">
        <v>23</v>
      </c>
      <c r="I350" s="9" t="n">
        <v>1</v>
      </c>
      <c r="J350" s="3" t="n">
        <v>799</v>
      </c>
      <c r="K350" s="3" t="n">
        <v>799</v>
      </c>
      <c r="L350" s="4" t="n">
        <v>0</v>
      </c>
      <c r="M350" s="3" t="n">
        <v>0</v>
      </c>
      <c r="N350" s="3" t="n">
        <v>0</v>
      </c>
      <c r="O350" s="3" t="n">
        <f aca="false">K350-M350-N350</f>
        <v>799</v>
      </c>
      <c r="P350" s="4" t="n">
        <v>0.21</v>
      </c>
      <c r="Q350" s="3" t="n">
        <v>660.33</v>
      </c>
      <c r="R350" s="3" t="n">
        <f aca="false">O350-Q350</f>
        <v>138.67</v>
      </c>
      <c r="S350" s="3" t="n">
        <v>550</v>
      </c>
      <c r="T350" s="3" t="n">
        <f aca="false">Q350-S350</f>
        <v>110.33</v>
      </c>
      <c r="U350" s="4" t="n">
        <f aca="false">IF(Q350=0,0,T350/Q350)</f>
        <v>0.167083125104115</v>
      </c>
      <c r="V350" s="2" t="s">
        <v>126</v>
      </c>
      <c r="W350" s="2" t="s">
        <v>156</v>
      </c>
      <c r="X350" s="2" t="s">
        <v>132</v>
      </c>
    </row>
    <row r="351" customFormat="false" ht="15" hidden="false" customHeight="false" outlineLevel="0" collapsed="false">
      <c r="A351" s="5" t="n">
        <v>350</v>
      </c>
      <c r="B351" s="5" t="s">
        <v>399</v>
      </c>
      <c r="C351" s="13" t="n">
        <v>46069</v>
      </c>
      <c r="D351" s="5" t="s">
        <v>173</v>
      </c>
      <c r="E351" s="5" t="s">
        <v>92</v>
      </c>
      <c r="F351" s="5" t="s">
        <v>93</v>
      </c>
      <c r="G351" s="5" t="s">
        <v>94</v>
      </c>
      <c r="H351" s="5" t="s">
        <v>95</v>
      </c>
      <c r="I351" s="11" t="n">
        <v>2</v>
      </c>
      <c r="J351" s="6" t="n">
        <v>4.49</v>
      </c>
      <c r="K351" s="6" t="n">
        <v>8.98</v>
      </c>
      <c r="L351" s="7" t="n">
        <v>0.1</v>
      </c>
      <c r="M351" s="6" t="n">
        <v>0.9</v>
      </c>
      <c r="N351" s="6" t="n">
        <v>0</v>
      </c>
      <c r="O351" s="6" t="n">
        <f aca="false">K351-M351-N351</f>
        <v>8.08</v>
      </c>
      <c r="P351" s="7" t="n">
        <v>0.1</v>
      </c>
      <c r="Q351" s="6" t="n">
        <v>7.35</v>
      </c>
      <c r="R351" s="6" t="n">
        <f aca="false">O351-Q351</f>
        <v>0.73</v>
      </c>
      <c r="S351" s="6" t="n">
        <v>4.2</v>
      </c>
      <c r="T351" s="6" t="n">
        <f aca="false">Q351-S351</f>
        <v>3.15</v>
      </c>
      <c r="U351" s="7" t="n">
        <f aca="false">IF(Q351=0,0,T351/Q351)</f>
        <v>0.428571428571429</v>
      </c>
      <c r="V351" s="5" t="s">
        <v>126</v>
      </c>
      <c r="W351" s="5" t="s">
        <v>156</v>
      </c>
      <c r="X351" s="5" t="s">
        <v>132</v>
      </c>
    </row>
    <row r="352" customFormat="false" ht="15" hidden="false" customHeight="false" outlineLevel="0" collapsed="false">
      <c r="A352" s="2" t="n">
        <v>351</v>
      </c>
      <c r="B352" s="2" t="s">
        <v>400</v>
      </c>
      <c r="C352" s="12" t="n">
        <v>46070</v>
      </c>
      <c r="D352" s="2" t="s">
        <v>258</v>
      </c>
      <c r="E352" s="2" t="s">
        <v>96</v>
      </c>
      <c r="F352" s="2" t="s">
        <v>97</v>
      </c>
      <c r="G352" s="2" t="s">
        <v>94</v>
      </c>
      <c r="H352" s="2" t="s">
        <v>95</v>
      </c>
      <c r="I352" s="9" t="n">
        <v>8</v>
      </c>
      <c r="J352" s="3" t="n">
        <v>7.99</v>
      </c>
      <c r="K352" s="3" t="n">
        <v>63.92</v>
      </c>
      <c r="L352" s="4" t="n">
        <v>0.1</v>
      </c>
      <c r="M352" s="3" t="n">
        <v>6.39</v>
      </c>
      <c r="N352" s="3" t="n">
        <v>0</v>
      </c>
      <c r="O352" s="3" t="n">
        <f aca="false">K352-M352-N352</f>
        <v>57.53</v>
      </c>
      <c r="P352" s="4" t="n">
        <v>0.1</v>
      </c>
      <c r="Q352" s="3" t="n">
        <v>52.3</v>
      </c>
      <c r="R352" s="3" t="n">
        <f aca="false">O352-Q352</f>
        <v>5.23</v>
      </c>
      <c r="S352" s="3" t="n">
        <v>27.2</v>
      </c>
      <c r="T352" s="3" t="n">
        <f aca="false">Q352-S352</f>
        <v>25.1</v>
      </c>
      <c r="U352" s="4" t="n">
        <f aca="false">IF(Q352=0,0,T352/Q352)</f>
        <v>0.479923518164436</v>
      </c>
      <c r="V352" s="2" t="s">
        <v>126</v>
      </c>
      <c r="W352" s="2" t="s">
        <v>136</v>
      </c>
      <c r="X352" s="2" t="s">
        <v>132</v>
      </c>
    </row>
    <row r="353" customFormat="false" ht="15" hidden="false" customHeight="false" outlineLevel="0" collapsed="false">
      <c r="A353" s="5" t="n">
        <v>352</v>
      </c>
      <c r="B353" s="5" t="s">
        <v>400</v>
      </c>
      <c r="C353" s="13" t="n">
        <v>46070</v>
      </c>
      <c r="D353" s="5" t="s">
        <v>258</v>
      </c>
      <c r="E353" s="5" t="s">
        <v>55</v>
      </c>
      <c r="F353" s="5" t="s">
        <v>56</v>
      </c>
      <c r="G353" s="5" t="s">
        <v>51</v>
      </c>
      <c r="H353" s="5" t="s">
        <v>52</v>
      </c>
      <c r="I353" s="11" t="n">
        <v>2</v>
      </c>
      <c r="J353" s="6" t="n">
        <v>119</v>
      </c>
      <c r="K353" s="6" t="n">
        <v>238</v>
      </c>
      <c r="L353" s="7" t="n">
        <v>0</v>
      </c>
      <c r="M353" s="6" t="n">
        <v>0</v>
      </c>
      <c r="N353" s="6" t="n">
        <v>0</v>
      </c>
      <c r="O353" s="6" t="n">
        <f aca="false">K353-M353-N353</f>
        <v>238</v>
      </c>
      <c r="P353" s="7" t="n">
        <v>0.21</v>
      </c>
      <c r="Q353" s="6" t="n">
        <v>196.69</v>
      </c>
      <c r="R353" s="6" t="n">
        <f aca="false">O353-Q353</f>
        <v>41.31</v>
      </c>
      <c r="S353" s="6" t="n">
        <v>110</v>
      </c>
      <c r="T353" s="6" t="n">
        <f aca="false">Q353-S353</f>
        <v>86.69</v>
      </c>
      <c r="U353" s="7" t="n">
        <f aca="false">IF(Q353=0,0,T353/Q353)</f>
        <v>0.44074431847069</v>
      </c>
      <c r="V353" s="5" t="s">
        <v>126</v>
      </c>
      <c r="W353" s="5" t="s">
        <v>136</v>
      </c>
      <c r="X353" s="5" t="s">
        <v>132</v>
      </c>
    </row>
    <row r="354" customFormat="false" ht="15" hidden="false" customHeight="false" outlineLevel="0" collapsed="false">
      <c r="A354" s="2" t="n">
        <v>353</v>
      </c>
      <c r="B354" s="2" t="s">
        <v>401</v>
      </c>
      <c r="C354" s="12" t="n">
        <v>46071</v>
      </c>
      <c r="D354" s="2" t="s">
        <v>217</v>
      </c>
      <c r="E354" s="2" t="s">
        <v>98</v>
      </c>
      <c r="F354" s="2" t="s">
        <v>99</v>
      </c>
      <c r="G354" s="2" t="s">
        <v>94</v>
      </c>
      <c r="H354" s="2" t="s">
        <v>95</v>
      </c>
      <c r="I354" s="9" t="n">
        <v>5</v>
      </c>
      <c r="J354" s="3" t="n">
        <v>2.99</v>
      </c>
      <c r="K354" s="3" t="n">
        <v>14.95</v>
      </c>
      <c r="L354" s="4" t="n">
        <v>0.15</v>
      </c>
      <c r="M354" s="3" t="n">
        <v>2.24</v>
      </c>
      <c r="N354" s="3" t="n">
        <v>0</v>
      </c>
      <c r="O354" s="3" t="n">
        <f aca="false">K354-M354-N354</f>
        <v>12.71</v>
      </c>
      <c r="P354" s="4" t="n">
        <v>0.1</v>
      </c>
      <c r="Q354" s="3" t="n">
        <v>11.55</v>
      </c>
      <c r="R354" s="3" t="n">
        <f aca="false">O354-Q354</f>
        <v>1.16</v>
      </c>
      <c r="S354" s="3" t="n">
        <v>6</v>
      </c>
      <c r="T354" s="3" t="n">
        <f aca="false">Q354-S354</f>
        <v>5.55</v>
      </c>
      <c r="U354" s="4" t="n">
        <f aca="false">IF(Q354=0,0,T354/Q354)</f>
        <v>0.480519480519481</v>
      </c>
      <c r="V354" s="2" t="s">
        <v>193</v>
      </c>
      <c r="W354" s="2" t="s">
        <v>136</v>
      </c>
      <c r="X354" s="2" t="s">
        <v>132</v>
      </c>
    </row>
    <row r="355" customFormat="false" ht="15" hidden="false" customHeight="false" outlineLevel="0" collapsed="false">
      <c r="A355" s="5" t="n">
        <v>354</v>
      </c>
      <c r="B355" s="5" t="s">
        <v>402</v>
      </c>
      <c r="C355" s="13" t="n">
        <v>46071</v>
      </c>
      <c r="D355" s="5" t="s">
        <v>202</v>
      </c>
      <c r="E355" s="5" t="s">
        <v>83</v>
      </c>
      <c r="F355" s="5" t="s">
        <v>84</v>
      </c>
      <c r="G355" s="5" t="s">
        <v>85</v>
      </c>
      <c r="H355" s="5" t="s">
        <v>86</v>
      </c>
      <c r="I355" s="11" t="n">
        <v>2</v>
      </c>
      <c r="J355" s="6" t="n">
        <v>3.9</v>
      </c>
      <c r="K355" s="6" t="n">
        <v>7.8</v>
      </c>
      <c r="L355" s="7" t="n">
        <v>0</v>
      </c>
      <c r="M355" s="6" t="n">
        <v>0</v>
      </c>
      <c r="N355" s="6" t="n">
        <v>0</v>
      </c>
      <c r="O355" s="6" t="n">
        <f aca="false">K355-M355-N355</f>
        <v>7.8</v>
      </c>
      <c r="P355" s="7" t="n">
        <v>0.1</v>
      </c>
      <c r="Q355" s="6" t="n">
        <v>7.09</v>
      </c>
      <c r="R355" s="6" t="n">
        <f aca="false">O355-Q355</f>
        <v>0.71</v>
      </c>
      <c r="S355" s="6" t="n">
        <v>5</v>
      </c>
      <c r="T355" s="6" t="n">
        <f aca="false">Q355-S355</f>
        <v>2.09</v>
      </c>
      <c r="U355" s="7" t="n">
        <f aca="false">IF(Q355=0,0,T355/Q355)</f>
        <v>0.294781382228491</v>
      </c>
      <c r="V355" s="5" t="s">
        <v>148</v>
      </c>
      <c r="W355" s="5" t="s">
        <v>136</v>
      </c>
      <c r="X355" s="5" t="s">
        <v>132</v>
      </c>
    </row>
    <row r="356" customFormat="false" ht="15" hidden="false" customHeight="false" outlineLevel="0" collapsed="false">
      <c r="A356" s="2" t="n">
        <v>355</v>
      </c>
      <c r="B356" s="2" t="s">
        <v>402</v>
      </c>
      <c r="C356" s="12" t="n">
        <v>46071</v>
      </c>
      <c r="D356" s="2" t="s">
        <v>202</v>
      </c>
      <c r="E356" s="2" t="s">
        <v>69</v>
      </c>
      <c r="F356" s="2" t="s">
        <v>70</v>
      </c>
      <c r="G356" s="2" t="s">
        <v>71</v>
      </c>
      <c r="H356" s="2" t="s">
        <v>72</v>
      </c>
      <c r="I356" s="9" t="n">
        <v>2</v>
      </c>
      <c r="J356" s="3" t="n">
        <v>22.9</v>
      </c>
      <c r="K356" s="3" t="n">
        <v>45.8</v>
      </c>
      <c r="L356" s="4" t="n">
        <v>0</v>
      </c>
      <c r="M356" s="3" t="n">
        <v>0</v>
      </c>
      <c r="N356" s="3" t="n">
        <v>0</v>
      </c>
      <c r="O356" s="3" t="n">
        <f aca="false">K356-M356-N356</f>
        <v>45.8</v>
      </c>
      <c r="P356" s="4" t="n">
        <v>0.21</v>
      </c>
      <c r="Q356" s="3" t="n">
        <v>37.85</v>
      </c>
      <c r="R356" s="3" t="n">
        <f aca="false">O356-Q356</f>
        <v>7.95</v>
      </c>
      <c r="S356" s="3" t="n">
        <v>16</v>
      </c>
      <c r="T356" s="3" t="n">
        <f aca="false">Q356-S356</f>
        <v>21.85</v>
      </c>
      <c r="U356" s="4" t="n">
        <f aca="false">IF(Q356=0,0,T356/Q356)</f>
        <v>0.577278731836196</v>
      </c>
      <c r="V356" s="2" t="s">
        <v>148</v>
      </c>
      <c r="W356" s="2" t="s">
        <v>136</v>
      </c>
      <c r="X356" s="2" t="s">
        <v>132</v>
      </c>
    </row>
    <row r="357" customFormat="false" ht="15" hidden="false" customHeight="false" outlineLevel="0" collapsed="false">
      <c r="A357" s="5" t="n">
        <v>356</v>
      </c>
      <c r="B357" s="5" t="s">
        <v>403</v>
      </c>
      <c r="C357" s="13" t="n">
        <v>46072</v>
      </c>
      <c r="D357" s="5" t="s">
        <v>139</v>
      </c>
      <c r="E357" s="5" t="s">
        <v>53</v>
      </c>
      <c r="F357" s="5" t="s">
        <v>54</v>
      </c>
      <c r="G357" s="5" t="s">
        <v>51</v>
      </c>
      <c r="H357" s="5" t="s">
        <v>52</v>
      </c>
      <c r="I357" s="11" t="n">
        <v>6</v>
      </c>
      <c r="J357" s="6" t="n">
        <v>59.9</v>
      </c>
      <c r="K357" s="6" t="n">
        <v>359.4</v>
      </c>
      <c r="L357" s="7" t="n">
        <v>0</v>
      </c>
      <c r="M357" s="6" t="n">
        <v>0</v>
      </c>
      <c r="N357" s="6" t="n">
        <v>71.88</v>
      </c>
      <c r="O357" s="6" t="n">
        <f aca="false">K357-M357-N357</f>
        <v>287.52</v>
      </c>
      <c r="P357" s="7" t="n">
        <v>0.21</v>
      </c>
      <c r="Q357" s="6" t="n">
        <v>237.62</v>
      </c>
      <c r="R357" s="6" t="n">
        <f aca="false">O357-Q357</f>
        <v>49.9</v>
      </c>
      <c r="S357" s="6" t="n">
        <v>156</v>
      </c>
      <c r="T357" s="6" t="n">
        <f aca="false">Q357-S357</f>
        <v>81.62</v>
      </c>
      <c r="U357" s="7" t="n">
        <f aca="false">IF(Q357=0,0,T357/Q357)</f>
        <v>0.343489605252083</v>
      </c>
      <c r="V357" s="5" t="s">
        <v>148</v>
      </c>
      <c r="W357" s="5" t="s">
        <v>156</v>
      </c>
      <c r="X357" s="5" t="s">
        <v>132</v>
      </c>
    </row>
    <row r="358" customFormat="false" ht="15" hidden="false" customHeight="false" outlineLevel="0" collapsed="false">
      <c r="A358" s="2" t="n">
        <v>357</v>
      </c>
      <c r="B358" s="2" t="s">
        <v>404</v>
      </c>
      <c r="C358" s="12" t="n">
        <v>46074</v>
      </c>
      <c r="D358" s="2" t="s">
        <v>158</v>
      </c>
      <c r="E358" s="2" t="s">
        <v>98</v>
      </c>
      <c r="F358" s="2" t="s">
        <v>99</v>
      </c>
      <c r="G358" s="2" t="s">
        <v>94</v>
      </c>
      <c r="H358" s="2" t="s">
        <v>95</v>
      </c>
      <c r="I358" s="9" t="n">
        <v>3</v>
      </c>
      <c r="J358" s="3" t="n">
        <v>2.99</v>
      </c>
      <c r="K358" s="3" t="n">
        <v>8.97</v>
      </c>
      <c r="L358" s="4" t="n">
        <v>0</v>
      </c>
      <c r="M358" s="3" t="n">
        <v>0</v>
      </c>
      <c r="N358" s="3" t="n">
        <v>0.9</v>
      </c>
      <c r="O358" s="3" t="n">
        <f aca="false">K358-M358-N358</f>
        <v>8.07</v>
      </c>
      <c r="P358" s="4" t="n">
        <v>0.1</v>
      </c>
      <c r="Q358" s="3" t="n">
        <v>7.34</v>
      </c>
      <c r="R358" s="3" t="n">
        <f aca="false">O358-Q358</f>
        <v>0.73</v>
      </c>
      <c r="S358" s="3" t="n">
        <v>3.6</v>
      </c>
      <c r="T358" s="3" t="n">
        <f aca="false">Q358-S358</f>
        <v>3.74</v>
      </c>
      <c r="U358" s="4" t="n">
        <f aca="false">IF(Q358=0,0,T358/Q358)</f>
        <v>0.509536784741144</v>
      </c>
      <c r="V358" s="2" t="s">
        <v>126</v>
      </c>
      <c r="W358" s="2" t="s">
        <v>156</v>
      </c>
      <c r="X358" s="2" t="s">
        <v>132</v>
      </c>
    </row>
    <row r="359" customFormat="false" ht="15" hidden="false" customHeight="false" outlineLevel="0" collapsed="false">
      <c r="A359" s="5" t="n">
        <v>358</v>
      </c>
      <c r="B359" s="5" t="s">
        <v>404</v>
      </c>
      <c r="C359" s="13" t="n">
        <v>46074</v>
      </c>
      <c r="D359" s="5" t="s">
        <v>158</v>
      </c>
      <c r="E359" s="5" t="s">
        <v>20</v>
      </c>
      <c r="F359" s="5" t="s">
        <v>21</v>
      </c>
      <c r="G359" s="5" t="s">
        <v>22</v>
      </c>
      <c r="H359" s="5" t="s">
        <v>23</v>
      </c>
      <c r="I359" s="11" t="n">
        <v>1</v>
      </c>
      <c r="J359" s="6" t="n">
        <v>799</v>
      </c>
      <c r="K359" s="6" t="n">
        <v>799</v>
      </c>
      <c r="L359" s="7" t="n">
        <v>0</v>
      </c>
      <c r="M359" s="6" t="n">
        <v>0</v>
      </c>
      <c r="N359" s="6" t="n">
        <v>79.9</v>
      </c>
      <c r="O359" s="6" t="n">
        <f aca="false">K359-M359-N359</f>
        <v>719.1</v>
      </c>
      <c r="P359" s="7" t="n">
        <v>0.21</v>
      </c>
      <c r="Q359" s="6" t="n">
        <v>594.3</v>
      </c>
      <c r="R359" s="6" t="n">
        <f aca="false">O359-Q359</f>
        <v>124.8</v>
      </c>
      <c r="S359" s="6" t="n">
        <v>550</v>
      </c>
      <c r="T359" s="6" t="n">
        <f aca="false">Q359-S359</f>
        <v>44.3</v>
      </c>
      <c r="U359" s="7" t="n">
        <f aca="false">IF(Q359=0,0,T359/Q359)</f>
        <v>0.0745414773683324</v>
      </c>
      <c r="V359" s="5" t="s">
        <v>126</v>
      </c>
      <c r="W359" s="5" t="s">
        <v>156</v>
      </c>
      <c r="X359" s="5" t="s">
        <v>132</v>
      </c>
    </row>
    <row r="360" customFormat="false" ht="15" hidden="false" customHeight="false" outlineLevel="0" collapsed="false">
      <c r="A360" s="2" t="n">
        <v>359</v>
      </c>
      <c r="B360" s="2" t="s">
        <v>404</v>
      </c>
      <c r="C360" s="12" t="n">
        <v>46074</v>
      </c>
      <c r="D360" s="2" t="s">
        <v>158</v>
      </c>
      <c r="E360" s="2" t="s">
        <v>40</v>
      </c>
      <c r="F360" s="2" t="s">
        <v>41</v>
      </c>
      <c r="G360" s="2" t="s">
        <v>38</v>
      </c>
      <c r="H360" s="2" t="s">
        <v>39</v>
      </c>
      <c r="I360" s="9" t="n">
        <v>1</v>
      </c>
      <c r="J360" s="3" t="n">
        <v>12.9</v>
      </c>
      <c r="K360" s="3" t="n">
        <v>12.9</v>
      </c>
      <c r="L360" s="4" t="n">
        <v>0</v>
      </c>
      <c r="M360" s="3" t="n">
        <v>0</v>
      </c>
      <c r="N360" s="3" t="n">
        <v>1.29</v>
      </c>
      <c r="O360" s="3" t="n">
        <f aca="false">K360-M360-N360</f>
        <v>11.61</v>
      </c>
      <c r="P360" s="4" t="n">
        <v>0.21</v>
      </c>
      <c r="Q360" s="3" t="n">
        <v>9.6</v>
      </c>
      <c r="R360" s="3" t="n">
        <f aca="false">O360-Q360</f>
        <v>2.01</v>
      </c>
      <c r="S360" s="3" t="n">
        <v>2.1</v>
      </c>
      <c r="T360" s="3" t="n">
        <f aca="false">Q360-S360</f>
        <v>7.5</v>
      </c>
      <c r="U360" s="4" t="n">
        <f aca="false">IF(Q360=0,0,T360/Q360)</f>
        <v>0.78125</v>
      </c>
      <c r="V360" s="2" t="s">
        <v>126</v>
      </c>
      <c r="W360" s="2" t="s">
        <v>156</v>
      </c>
      <c r="X360" s="2" t="s">
        <v>132</v>
      </c>
    </row>
    <row r="361" customFormat="false" ht="15" hidden="false" customHeight="false" outlineLevel="0" collapsed="false">
      <c r="A361" s="5" t="n">
        <v>360</v>
      </c>
      <c r="B361" s="5" t="s">
        <v>405</v>
      </c>
      <c r="C361" s="13" t="n">
        <v>46078</v>
      </c>
      <c r="D361" s="5" t="s">
        <v>188</v>
      </c>
      <c r="E361" s="5" t="s">
        <v>24</v>
      </c>
      <c r="F361" s="5" t="s">
        <v>25</v>
      </c>
      <c r="G361" s="5" t="s">
        <v>22</v>
      </c>
      <c r="H361" s="5" t="s">
        <v>23</v>
      </c>
      <c r="I361" s="11" t="n">
        <v>2</v>
      </c>
      <c r="J361" s="6" t="n">
        <v>24.9</v>
      </c>
      <c r="K361" s="6" t="n">
        <v>49.8</v>
      </c>
      <c r="L361" s="7" t="n">
        <v>0</v>
      </c>
      <c r="M361" s="6" t="n">
        <v>0</v>
      </c>
      <c r="N361" s="6" t="n">
        <v>4.98</v>
      </c>
      <c r="O361" s="6" t="n">
        <f aca="false">K361-M361-N361</f>
        <v>44.82</v>
      </c>
      <c r="P361" s="7" t="n">
        <v>0.21</v>
      </c>
      <c r="Q361" s="6" t="n">
        <v>37.04</v>
      </c>
      <c r="R361" s="6" t="n">
        <f aca="false">O361-Q361</f>
        <v>7.77999999999999</v>
      </c>
      <c r="S361" s="6" t="n">
        <v>19.6</v>
      </c>
      <c r="T361" s="6" t="n">
        <f aca="false">Q361-S361</f>
        <v>17.44</v>
      </c>
      <c r="U361" s="7" t="n">
        <f aca="false">IF(Q361=0,0,T361/Q361)</f>
        <v>0.470842332613391</v>
      </c>
      <c r="V361" s="5" t="s">
        <v>138</v>
      </c>
      <c r="W361" s="5" t="s">
        <v>156</v>
      </c>
      <c r="X361" s="5" t="s">
        <v>132</v>
      </c>
    </row>
    <row r="362" customFormat="false" ht="15" hidden="false" customHeight="false" outlineLevel="0" collapsed="false">
      <c r="A362" s="2" t="n">
        <v>361</v>
      </c>
      <c r="B362" s="2" t="s">
        <v>406</v>
      </c>
      <c r="C362" s="12" t="n">
        <v>46079</v>
      </c>
      <c r="D362" s="2" t="s">
        <v>164</v>
      </c>
      <c r="E362" s="2" t="s">
        <v>83</v>
      </c>
      <c r="F362" s="2" t="s">
        <v>84</v>
      </c>
      <c r="G362" s="2" t="s">
        <v>85</v>
      </c>
      <c r="H362" s="2" t="s">
        <v>86</v>
      </c>
      <c r="I362" s="9" t="n">
        <v>3</v>
      </c>
      <c r="J362" s="3" t="n">
        <v>3.9</v>
      </c>
      <c r="K362" s="3" t="n">
        <v>11.7</v>
      </c>
      <c r="L362" s="4" t="n">
        <v>0</v>
      </c>
      <c r="M362" s="3" t="n">
        <v>0</v>
      </c>
      <c r="N362" s="3" t="n">
        <v>0</v>
      </c>
      <c r="O362" s="3" t="n">
        <f aca="false">K362-M362-N362</f>
        <v>11.7</v>
      </c>
      <c r="P362" s="4" t="n">
        <v>0.1</v>
      </c>
      <c r="Q362" s="3" t="n">
        <v>10.64</v>
      </c>
      <c r="R362" s="3" t="n">
        <f aca="false">O362-Q362</f>
        <v>1.06</v>
      </c>
      <c r="S362" s="3" t="n">
        <v>7.5</v>
      </c>
      <c r="T362" s="3" t="n">
        <f aca="false">Q362-S362</f>
        <v>3.14</v>
      </c>
      <c r="U362" s="4" t="n">
        <f aca="false">IF(Q362=0,0,T362/Q362)</f>
        <v>0.295112781954887</v>
      </c>
      <c r="V362" s="2" t="s">
        <v>126</v>
      </c>
      <c r="W362" s="2" t="s">
        <v>136</v>
      </c>
      <c r="X362" s="2" t="s">
        <v>132</v>
      </c>
    </row>
    <row r="363" customFormat="false" ht="15" hidden="false" customHeight="false" outlineLevel="0" collapsed="false">
      <c r="A363" s="5" t="n">
        <v>362</v>
      </c>
      <c r="B363" s="5" t="s">
        <v>407</v>
      </c>
      <c r="C363" s="13" t="n">
        <v>46080</v>
      </c>
      <c r="D363" s="5" t="s">
        <v>158</v>
      </c>
      <c r="E363" s="5" t="s">
        <v>45</v>
      </c>
      <c r="F363" s="5" t="s">
        <v>46</v>
      </c>
      <c r="G363" s="5" t="s">
        <v>38</v>
      </c>
      <c r="H363" s="5" t="s">
        <v>39</v>
      </c>
      <c r="I363" s="11" t="n">
        <v>1</v>
      </c>
      <c r="J363" s="6" t="n">
        <v>79.9</v>
      </c>
      <c r="K363" s="6" t="n">
        <v>79.9</v>
      </c>
      <c r="L363" s="7" t="n">
        <v>0</v>
      </c>
      <c r="M363" s="6" t="n">
        <v>0</v>
      </c>
      <c r="N363" s="6" t="n">
        <v>0</v>
      </c>
      <c r="O363" s="6" t="n">
        <f aca="false">K363-M363-N363</f>
        <v>79.9</v>
      </c>
      <c r="P363" s="7" t="n">
        <v>0.21</v>
      </c>
      <c r="Q363" s="6" t="n">
        <v>66.03</v>
      </c>
      <c r="R363" s="6" t="n">
        <f aca="false">O363-Q363</f>
        <v>13.87</v>
      </c>
      <c r="S363" s="6" t="n">
        <v>32</v>
      </c>
      <c r="T363" s="6" t="n">
        <f aca="false">Q363-S363</f>
        <v>34.03</v>
      </c>
      <c r="U363" s="7" t="n">
        <f aca="false">IF(Q363=0,0,T363/Q363)</f>
        <v>0.515371800696653</v>
      </c>
      <c r="V363" s="5" t="s">
        <v>126</v>
      </c>
      <c r="W363" s="5" t="s">
        <v>136</v>
      </c>
      <c r="X363" s="5" t="s">
        <v>185</v>
      </c>
    </row>
    <row r="364" customFormat="false" ht="15" hidden="false" customHeight="false" outlineLevel="0" collapsed="false">
      <c r="A364" s="2" t="n">
        <v>363</v>
      </c>
      <c r="B364" s="2" t="s">
        <v>407</v>
      </c>
      <c r="C364" s="12" t="n">
        <v>46080</v>
      </c>
      <c r="D364" s="2" t="s">
        <v>158</v>
      </c>
      <c r="E364" s="2" t="s">
        <v>75</v>
      </c>
      <c r="F364" s="2" t="s">
        <v>76</v>
      </c>
      <c r="G364" s="2" t="s">
        <v>71</v>
      </c>
      <c r="H364" s="2" t="s">
        <v>72</v>
      </c>
      <c r="I364" s="9" t="n">
        <v>2</v>
      </c>
      <c r="J364" s="3" t="n">
        <v>449</v>
      </c>
      <c r="K364" s="3" t="n">
        <v>898</v>
      </c>
      <c r="L364" s="4" t="n">
        <v>0</v>
      </c>
      <c r="M364" s="3" t="n">
        <v>0</v>
      </c>
      <c r="N364" s="3" t="n">
        <v>0</v>
      </c>
      <c r="O364" s="3" t="n">
        <f aca="false">K364-M364-N364</f>
        <v>898</v>
      </c>
      <c r="P364" s="4" t="n">
        <v>0.21</v>
      </c>
      <c r="Q364" s="3" t="n">
        <v>742.15</v>
      </c>
      <c r="R364" s="3" t="n">
        <f aca="false">O364-Q364</f>
        <v>155.85</v>
      </c>
      <c r="S364" s="3" t="n">
        <v>720</v>
      </c>
      <c r="T364" s="3" t="n">
        <f aca="false">Q364-S364</f>
        <v>22.15</v>
      </c>
      <c r="U364" s="4" t="n">
        <f aca="false">IF(Q364=0,0,T364/Q364)</f>
        <v>0.0298457185205147</v>
      </c>
      <c r="V364" s="2" t="s">
        <v>126</v>
      </c>
      <c r="W364" s="2" t="s">
        <v>136</v>
      </c>
      <c r="X364" s="2" t="s">
        <v>185</v>
      </c>
    </row>
    <row r="365" customFormat="false" ht="15" hidden="false" customHeight="false" outlineLevel="0" collapsed="false">
      <c r="A365" s="5" t="n">
        <v>364</v>
      </c>
      <c r="B365" s="5" t="s">
        <v>408</v>
      </c>
      <c r="C365" s="13" t="n">
        <v>46082</v>
      </c>
      <c r="D365" s="5" t="s">
        <v>127</v>
      </c>
      <c r="E365" s="5" t="s">
        <v>89</v>
      </c>
      <c r="F365" s="5" t="s">
        <v>90</v>
      </c>
      <c r="G365" s="5" t="s">
        <v>91</v>
      </c>
      <c r="H365" s="5" t="s">
        <v>86</v>
      </c>
      <c r="I365" s="11" t="n">
        <v>2</v>
      </c>
      <c r="J365" s="6" t="n">
        <v>4.99</v>
      </c>
      <c r="K365" s="6" t="n">
        <v>9.98</v>
      </c>
      <c r="L365" s="7" t="n">
        <v>0</v>
      </c>
      <c r="M365" s="6" t="n">
        <v>0</v>
      </c>
      <c r="N365" s="6" t="n">
        <v>2</v>
      </c>
      <c r="O365" s="6" t="n">
        <f aca="false">K365-M365-N365</f>
        <v>7.98</v>
      </c>
      <c r="P365" s="7" t="n">
        <v>0.1</v>
      </c>
      <c r="Q365" s="6" t="n">
        <v>7.25</v>
      </c>
      <c r="R365" s="6" t="n">
        <f aca="false">O365-Q365</f>
        <v>0.73</v>
      </c>
      <c r="S365" s="6" t="n">
        <v>4.6</v>
      </c>
      <c r="T365" s="6" t="n">
        <f aca="false">Q365-S365</f>
        <v>2.65</v>
      </c>
      <c r="U365" s="7" t="n">
        <f aca="false">IF(Q365=0,0,T365/Q365)</f>
        <v>0.36551724137931</v>
      </c>
      <c r="V365" s="5" t="s">
        <v>138</v>
      </c>
      <c r="W365" s="5" t="s">
        <v>154</v>
      </c>
      <c r="X365" s="5" t="s">
        <v>132</v>
      </c>
    </row>
    <row r="366" customFormat="false" ht="15" hidden="false" customHeight="false" outlineLevel="0" collapsed="false">
      <c r="A366" s="2" t="n">
        <v>365</v>
      </c>
      <c r="B366" s="2" t="s">
        <v>409</v>
      </c>
      <c r="C366" s="12" t="n">
        <v>46082</v>
      </c>
      <c r="D366" s="2" t="s">
        <v>139</v>
      </c>
      <c r="E366" s="2" t="s">
        <v>98</v>
      </c>
      <c r="F366" s="2" t="s">
        <v>99</v>
      </c>
      <c r="G366" s="2" t="s">
        <v>94</v>
      </c>
      <c r="H366" s="2" t="s">
        <v>95</v>
      </c>
      <c r="I366" s="9" t="n">
        <v>1</v>
      </c>
      <c r="J366" s="3" t="n">
        <v>2.99</v>
      </c>
      <c r="K366" s="3" t="n">
        <v>2.99</v>
      </c>
      <c r="L366" s="4" t="n">
        <v>0</v>
      </c>
      <c r="M366" s="3" t="n">
        <v>0</v>
      </c>
      <c r="N366" s="3" t="n">
        <v>0</v>
      </c>
      <c r="O366" s="3" t="n">
        <f aca="false">K366-M366-N366</f>
        <v>2.99</v>
      </c>
      <c r="P366" s="4" t="n">
        <v>0.1</v>
      </c>
      <c r="Q366" s="3" t="n">
        <v>2.72</v>
      </c>
      <c r="R366" s="3" t="n">
        <f aca="false">O366-Q366</f>
        <v>0.27</v>
      </c>
      <c r="S366" s="3" t="n">
        <v>1.2</v>
      </c>
      <c r="T366" s="3" t="n">
        <f aca="false">Q366-S366</f>
        <v>1.52</v>
      </c>
      <c r="U366" s="4" t="n">
        <f aca="false">IF(Q366=0,0,T366/Q366)</f>
        <v>0.558823529411765</v>
      </c>
      <c r="V366" s="2" t="s">
        <v>172</v>
      </c>
      <c r="W366" s="2" t="s">
        <v>156</v>
      </c>
      <c r="X366" s="2" t="s">
        <v>132</v>
      </c>
    </row>
    <row r="367" customFormat="false" ht="15" hidden="false" customHeight="false" outlineLevel="0" collapsed="false">
      <c r="A367" s="5" t="n">
        <v>366</v>
      </c>
      <c r="B367" s="5" t="s">
        <v>409</v>
      </c>
      <c r="C367" s="13" t="n">
        <v>46082</v>
      </c>
      <c r="D367" s="5" t="s">
        <v>139</v>
      </c>
      <c r="E367" s="5" t="s">
        <v>16</v>
      </c>
      <c r="F367" s="5" t="s">
        <v>17</v>
      </c>
      <c r="G367" s="5" t="s">
        <v>13</v>
      </c>
      <c r="H367" s="5" t="s">
        <v>14</v>
      </c>
      <c r="I367" s="11" t="n">
        <v>1</v>
      </c>
      <c r="J367" s="6" t="n">
        <v>54.9</v>
      </c>
      <c r="K367" s="6" t="n">
        <v>54.9</v>
      </c>
      <c r="L367" s="7" t="n">
        <v>0</v>
      </c>
      <c r="M367" s="6" t="n">
        <v>0</v>
      </c>
      <c r="N367" s="6" t="n">
        <v>0</v>
      </c>
      <c r="O367" s="6" t="n">
        <f aca="false">K367-M367-N367</f>
        <v>54.9</v>
      </c>
      <c r="P367" s="7" t="n">
        <v>0.21</v>
      </c>
      <c r="Q367" s="6" t="n">
        <v>45.37</v>
      </c>
      <c r="R367" s="6" t="n">
        <f aca="false">O367-Q367</f>
        <v>9.53</v>
      </c>
      <c r="S367" s="6" t="n">
        <v>22</v>
      </c>
      <c r="T367" s="6" t="n">
        <f aca="false">Q367-S367</f>
        <v>23.37</v>
      </c>
      <c r="U367" s="7" t="n">
        <f aca="false">IF(Q367=0,0,T367/Q367)</f>
        <v>0.515098082433326</v>
      </c>
      <c r="V367" s="5" t="s">
        <v>172</v>
      </c>
      <c r="W367" s="5" t="s">
        <v>156</v>
      </c>
      <c r="X367" s="5" t="s">
        <v>132</v>
      </c>
    </row>
    <row r="368" customFormat="false" ht="15" hidden="false" customHeight="false" outlineLevel="0" collapsed="false">
      <c r="A368" s="2" t="n">
        <v>367</v>
      </c>
      <c r="B368" s="2" t="s">
        <v>410</v>
      </c>
      <c r="C368" s="12" t="n">
        <v>46082</v>
      </c>
      <c r="D368" s="2" t="s">
        <v>258</v>
      </c>
      <c r="E368" s="2" t="s">
        <v>75</v>
      </c>
      <c r="F368" s="2" t="s">
        <v>76</v>
      </c>
      <c r="G368" s="2" t="s">
        <v>71</v>
      </c>
      <c r="H368" s="2" t="s">
        <v>72</v>
      </c>
      <c r="I368" s="9" t="n">
        <v>1</v>
      </c>
      <c r="J368" s="3" t="n">
        <v>449</v>
      </c>
      <c r="K368" s="3" t="n">
        <v>449</v>
      </c>
      <c r="L368" s="4" t="n">
        <v>0</v>
      </c>
      <c r="M368" s="3" t="n">
        <v>0</v>
      </c>
      <c r="N368" s="3" t="n">
        <v>0</v>
      </c>
      <c r="O368" s="3" t="n">
        <f aca="false">K368-M368-N368</f>
        <v>449</v>
      </c>
      <c r="P368" s="4" t="n">
        <v>0.21</v>
      </c>
      <c r="Q368" s="3" t="n">
        <v>371.07</v>
      </c>
      <c r="R368" s="3" t="n">
        <f aca="false">O368-Q368</f>
        <v>77.93</v>
      </c>
      <c r="S368" s="3" t="n">
        <v>360</v>
      </c>
      <c r="T368" s="3" t="n">
        <f aca="false">Q368-S368</f>
        <v>11.07</v>
      </c>
      <c r="U368" s="4" t="n">
        <f aca="false">IF(Q368=0,0,T368/Q368)</f>
        <v>0.0298326461314577</v>
      </c>
      <c r="V368" s="2" t="s">
        <v>126</v>
      </c>
      <c r="W368" s="2" t="s">
        <v>136</v>
      </c>
      <c r="X368" s="2" t="s">
        <v>132</v>
      </c>
    </row>
    <row r="369" customFormat="false" ht="15" hidden="false" customHeight="false" outlineLevel="0" collapsed="false">
      <c r="A369" s="5" t="n">
        <v>368</v>
      </c>
      <c r="B369" s="5" t="s">
        <v>410</v>
      </c>
      <c r="C369" s="13" t="n">
        <v>46082</v>
      </c>
      <c r="D369" s="5" t="s">
        <v>258</v>
      </c>
      <c r="E369" s="5" t="s">
        <v>77</v>
      </c>
      <c r="F369" s="5" t="s">
        <v>78</v>
      </c>
      <c r="G369" s="5" t="s">
        <v>79</v>
      </c>
      <c r="H369" s="5" t="s">
        <v>80</v>
      </c>
      <c r="I369" s="11" t="n">
        <v>1</v>
      </c>
      <c r="J369" s="6" t="n">
        <v>59.9</v>
      </c>
      <c r="K369" s="6" t="n">
        <v>59.9</v>
      </c>
      <c r="L369" s="7" t="n">
        <v>0</v>
      </c>
      <c r="M369" s="6" t="n">
        <v>0</v>
      </c>
      <c r="N369" s="6" t="n">
        <v>0</v>
      </c>
      <c r="O369" s="6" t="n">
        <f aca="false">K369-M369-N369</f>
        <v>59.9</v>
      </c>
      <c r="P369" s="7" t="n">
        <v>0.21</v>
      </c>
      <c r="Q369" s="6" t="n">
        <v>49.5</v>
      </c>
      <c r="R369" s="6" t="n">
        <f aca="false">O369-Q369</f>
        <v>10.4</v>
      </c>
      <c r="S369" s="6" t="n">
        <v>24</v>
      </c>
      <c r="T369" s="6" t="n">
        <f aca="false">Q369-S369</f>
        <v>25.5</v>
      </c>
      <c r="U369" s="7" t="n">
        <f aca="false">IF(Q369=0,0,T369/Q369)</f>
        <v>0.515151515151515</v>
      </c>
      <c r="V369" s="5" t="s">
        <v>126</v>
      </c>
      <c r="W369" s="5" t="s">
        <v>136</v>
      </c>
      <c r="X369" s="5" t="s">
        <v>132</v>
      </c>
    </row>
    <row r="370" customFormat="false" ht="15" hidden="false" customHeight="false" outlineLevel="0" collapsed="false">
      <c r="A370" s="2" t="n">
        <v>369</v>
      </c>
      <c r="B370" s="2" t="s">
        <v>411</v>
      </c>
      <c r="C370" s="12" t="n">
        <v>46083</v>
      </c>
      <c r="D370" s="2" t="s">
        <v>217</v>
      </c>
      <c r="E370" s="2" t="s">
        <v>92</v>
      </c>
      <c r="F370" s="2" t="s">
        <v>93</v>
      </c>
      <c r="G370" s="2" t="s">
        <v>94</v>
      </c>
      <c r="H370" s="2" t="s">
        <v>95</v>
      </c>
      <c r="I370" s="9" t="n">
        <v>2</v>
      </c>
      <c r="J370" s="3" t="n">
        <v>4.49</v>
      </c>
      <c r="K370" s="3" t="n">
        <v>8.98</v>
      </c>
      <c r="L370" s="4" t="n">
        <v>0</v>
      </c>
      <c r="M370" s="3" t="n">
        <v>0</v>
      </c>
      <c r="N370" s="3" t="n">
        <v>0</v>
      </c>
      <c r="O370" s="3" t="n">
        <f aca="false">K370-M370-N370</f>
        <v>8.98</v>
      </c>
      <c r="P370" s="4" t="n">
        <v>0.1</v>
      </c>
      <c r="Q370" s="3" t="n">
        <v>8.16</v>
      </c>
      <c r="R370" s="3" t="n">
        <f aca="false">O370-Q370</f>
        <v>0.82</v>
      </c>
      <c r="S370" s="3" t="n">
        <v>4.2</v>
      </c>
      <c r="T370" s="3" t="n">
        <f aca="false">Q370-S370</f>
        <v>3.96</v>
      </c>
      <c r="U370" s="4" t="n">
        <f aca="false">IF(Q370=0,0,T370/Q370)</f>
        <v>0.485294117647059</v>
      </c>
      <c r="V370" s="2" t="s">
        <v>172</v>
      </c>
      <c r="W370" s="2" t="s">
        <v>177</v>
      </c>
      <c r="X370" s="2" t="s">
        <v>132</v>
      </c>
    </row>
    <row r="371" customFormat="false" ht="15" hidden="false" customHeight="false" outlineLevel="0" collapsed="false">
      <c r="A371" s="5" t="n">
        <v>370</v>
      </c>
      <c r="B371" s="5" t="s">
        <v>411</v>
      </c>
      <c r="C371" s="13" t="n">
        <v>46083</v>
      </c>
      <c r="D371" s="5" t="s">
        <v>217</v>
      </c>
      <c r="E371" s="5" t="s">
        <v>47</v>
      </c>
      <c r="F371" s="5" t="s">
        <v>48</v>
      </c>
      <c r="G371" s="5" t="s">
        <v>44</v>
      </c>
      <c r="H371" s="5" t="s">
        <v>39</v>
      </c>
      <c r="I371" s="11" t="n">
        <v>1</v>
      </c>
      <c r="J371" s="6" t="n">
        <v>34.9</v>
      </c>
      <c r="K371" s="6" t="n">
        <v>34.9</v>
      </c>
      <c r="L371" s="7" t="n">
        <v>0</v>
      </c>
      <c r="M371" s="6" t="n">
        <v>0</v>
      </c>
      <c r="N371" s="6" t="n">
        <v>0</v>
      </c>
      <c r="O371" s="6" t="n">
        <f aca="false">K371-M371-N371</f>
        <v>34.9</v>
      </c>
      <c r="P371" s="7" t="n">
        <v>0.21</v>
      </c>
      <c r="Q371" s="6" t="n">
        <v>28.84</v>
      </c>
      <c r="R371" s="6" t="n">
        <f aca="false">O371-Q371</f>
        <v>6.06</v>
      </c>
      <c r="S371" s="6" t="n">
        <v>14</v>
      </c>
      <c r="T371" s="6" t="n">
        <f aca="false">Q371-S371</f>
        <v>14.84</v>
      </c>
      <c r="U371" s="7" t="n">
        <f aca="false">IF(Q371=0,0,T371/Q371)</f>
        <v>0.514563106796117</v>
      </c>
      <c r="V371" s="5" t="s">
        <v>172</v>
      </c>
      <c r="W371" s="5" t="s">
        <v>177</v>
      </c>
      <c r="X371" s="5" t="s">
        <v>132</v>
      </c>
    </row>
    <row r="372" customFormat="false" ht="15" hidden="false" customHeight="false" outlineLevel="0" collapsed="false">
      <c r="A372" s="2" t="n">
        <v>371</v>
      </c>
      <c r="B372" s="2" t="s">
        <v>412</v>
      </c>
      <c r="C372" s="12" t="n">
        <v>46085</v>
      </c>
      <c r="D372" s="2" t="s">
        <v>202</v>
      </c>
      <c r="E372" s="2" t="s">
        <v>45</v>
      </c>
      <c r="F372" s="2" t="s">
        <v>46</v>
      </c>
      <c r="G372" s="2" t="s">
        <v>38</v>
      </c>
      <c r="H372" s="2" t="s">
        <v>39</v>
      </c>
      <c r="I372" s="9" t="n">
        <v>1</v>
      </c>
      <c r="J372" s="3" t="n">
        <v>79.9</v>
      </c>
      <c r="K372" s="3" t="n">
        <v>79.9</v>
      </c>
      <c r="L372" s="4" t="n">
        <v>0</v>
      </c>
      <c r="M372" s="3" t="n">
        <v>0</v>
      </c>
      <c r="N372" s="3" t="n">
        <v>0</v>
      </c>
      <c r="O372" s="3" t="n">
        <f aca="false">K372-M372-N372</f>
        <v>79.9</v>
      </c>
      <c r="P372" s="4" t="n">
        <v>0.21</v>
      </c>
      <c r="Q372" s="3" t="n">
        <v>66.03</v>
      </c>
      <c r="R372" s="3" t="n">
        <f aca="false">O372-Q372</f>
        <v>13.87</v>
      </c>
      <c r="S372" s="3" t="n">
        <v>32</v>
      </c>
      <c r="T372" s="3" t="n">
        <f aca="false">Q372-S372</f>
        <v>34.03</v>
      </c>
      <c r="U372" s="4" t="n">
        <f aca="false">IF(Q372=0,0,T372/Q372)</f>
        <v>0.515371800696653</v>
      </c>
      <c r="V372" s="2" t="s">
        <v>126</v>
      </c>
      <c r="W372" s="2" t="s">
        <v>136</v>
      </c>
      <c r="X372" s="2" t="s">
        <v>132</v>
      </c>
    </row>
    <row r="373" customFormat="false" ht="15" hidden="false" customHeight="false" outlineLevel="0" collapsed="false">
      <c r="A373" s="5" t="n">
        <v>372</v>
      </c>
      <c r="B373" s="5" t="s">
        <v>412</v>
      </c>
      <c r="C373" s="13" t="n">
        <v>46085</v>
      </c>
      <c r="D373" s="5" t="s">
        <v>202</v>
      </c>
      <c r="E373" s="5" t="s">
        <v>61</v>
      </c>
      <c r="F373" s="5" t="s">
        <v>62</v>
      </c>
      <c r="G373" s="5" t="s">
        <v>59</v>
      </c>
      <c r="H373" s="5" t="s">
        <v>60</v>
      </c>
      <c r="I373" s="11" t="n">
        <v>1</v>
      </c>
      <c r="J373" s="6" t="n">
        <v>18.9</v>
      </c>
      <c r="K373" s="6" t="n">
        <v>18.9</v>
      </c>
      <c r="L373" s="7" t="n">
        <v>0</v>
      </c>
      <c r="M373" s="6" t="n">
        <v>0</v>
      </c>
      <c r="N373" s="6" t="n">
        <v>0</v>
      </c>
      <c r="O373" s="6" t="n">
        <f aca="false">K373-M373-N373</f>
        <v>18.9</v>
      </c>
      <c r="P373" s="7" t="n">
        <v>0.21</v>
      </c>
      <c r="Q373" s="6" t="n">
        <v>15.62</v>
      </c>
      <c r="R373" s="6" t="n">
        <f aca="false">O373-Q373</f>
        <v>3.28</v>
      </c>
      <c r="S373" s="6" t="n">
        <v>6.5</v>
      </c>
      <c r="T373" s="6" t="n">
        <f aca="false">Q373-S373</f>
        <v>9.12</v>
      </c>
      <c r="U373" s="7" t="n">
        <f aca="false">IF(Q373=0,0,T373/Q373)</f>
        <v>0.583866837387964</v>
      </c>
      <c r="V373" s="5" t="s">
        <v>126</v>
      </c>
      <c r="W373" s="5" t="s">
        <v>136</v>
      </c>
      <c r="X373" s="5" t="s">
        <v>132</v>
      </c>
    </row>
    <row r="374" customFormat="false" ht="15" hidden="false" customHeight="false" outlineLevel="0" collapsed="false">
      <c r="A374" s="2" t="n">
        <v>373</v>
      </c>
      <c r="B374" s="2" t="s">
        <v>413</v>
      </c>
      <c r="C374" s="12" t="n">
        <v>46086</v>
      </c>
      <c r="D374" s="2" t="s">
        <v>158</v>
      </c>
      <c r="E374" s="2" t="s">
        <v>16</v>
      </c>
      <c r="F374" s="2" t="s">
        <v>17</v>
      </c>
      <c r="G374" s="2" t="s">
        <v>13</v>
      </c>
      <c r="H374" s="2" t="s">
        <v>14</v>
      </c>
      <c r="I374" s="9" t="n">
        <v>1</v>
      </c>
      <c r="J374" s="3" t="n">
        <v>54.9</v>
      </c>
      <c r="K374" s="3" t="n">
        <v>54.9</v>
      </c>
      <c r="L374" s="4" t="n">
        <v>0</v>
      </c>
      <c r="M374" s="3" t="n">
        <v>0</v>
      </c>
      <c r="N374" s="3" t="n">
        <v>0</v>
      </c>
      <c r="O374" s="3" t="n">
        <f aca="false">K374-M374-N374</f>
        <v>54.9</v>
      </c>
      <c r="P374" s="4" t="n">
        <v>0.21</v>
      </c>
      <c r="Q374" s="3" t="n">
        <v>45.37</v>
      </c>
      <c r="R374" s="3" t="n">
        <f aca="false">O374-Q374</f>
        <v>9.53</v>
      </c>
      <c r="S374" s="3" t="n">
        <v>22</v>
      </c>
      <c r="T374" s="3" t="n">
        <f aca="false">Q374-S374</f>
        <v>23.37</v>
      </c>
      <c r="U374" s="4" t="n">
        <f aca="false">IF(Q374=0,0,T374/Q374)</f>
        <v>0.515098082433326</v>
      </c>
      <c r="V374" s="2" t="s">
        <v>138</v>
      </c>
      <c r="W374" s="2" t="s">
        <v>177</v>
      </c>
      <c r="X374" s="2" t="s">
        <v>132</v>
      </c>
    </row>
    <row r="375" customFormat="false" ht="15" hidden="false" customHeight="false" outlineLevel="0" collapsed="false">
      <c r="A375" s="5" t="n">
        <v>374</v>
      </c>
      <c r="B375" s="5" t="s">
        <v>413</v>
      </c>
      <c r="C375" s="13" t="n">
        <v>46086</v>
      </c>
      <c r="D375" s="5" t="s">
        <v>158</v>
      </c>
      <c r="E375" s="5" t="s">
        <v>89</v>
      </c>
      <c r="F375" s="5" t="s">
        <v>90</v>
      </c>
      <c r="G375" s="5" t="s">
        <v>91</v>
      </c>
      <c r="H375" s="5" t="s">
        <v>86</v>
      </c>
      <c r="I375" s="11" t="n">
        <v>2</v>
      </c>
      <c r="J375" s="6" t="n">
        <v>4.99</v>
      </c>
      <c r="K375" s="6" t="n">
        <v>9.98</v>
      </c>
      <c r="L375" s="7" t="n">
        <v>0</v>
      </c>
      <c r="M375" s="6" t="n">
        <v>0</v>
      </c>
      <c r="N375" s="6" t="n">
        <v>0</v>
      </c>
      <c r="O375" s="6" t="n">
        <f aca="false">K375-M375-N375</f>
        <v>9.98</v>
      </c>
      <c r="P375" s="7" t="n">
        <v>0.1</v>
      </c>
      <c r="Q375" s="6" t="n">
        <v>9.07</v>
      </c>
      <c r="R375" s="6" t="n">
        <f aca="false">O375-Q375</f>
        <v>0.91</v>
      </c>
      <c r="S375" s="6" t="n">
        <v>4.6</v>
      </c>
      <c r="T375" s="6" t="n">
        <f aca="false">Q375-S375</f>
        <v>4.47</v>
      </c>
      <c r="U375" s="7" t="n">
        <f aca="false">IF(Q375=0,0,T375/Q375)</f>
        <v>0.492833517089305</v>
      </c>
      <c r="V375" s="5" t="s">
        <v>138</v>
      </c>
      <c r="W375" s="5" t="s">
        <v>177</v>
      </c>
      <c r="X375" s="5" t="s">
        <v>132</v>
      </c>
    </row>
    <row r="376" customFormat="false" ht="15" hidden="false" customHeight="false" outlineLevel="0" collapsed="false">
      <c r="A376" s="2" t="n">
        <v>375</v>
      </c>
      <c r="B376" s="2" t="s">
        <v>414</v>
      </c>
      <c r="C376" s="12" t="n">
        <v>46086</v>
      </c>
      <c r="D376" s="2" t="s">
        <v>173</v>
      </c>
      <c r="E376" s="2" t="s">
        <v>24</v>
      </c>
      <c r="F376" s="2" t="s">
        <v>25</v>
      </c>
      <c r="G376" s="2" t="s">
        <v>22</v>
      </c>
      <c r="H376" s="2" t="s">
        <v>23</v>
      </c>
      <c r="I376" s="9" t="n">
        <v>1</v>
      </c>
      <c r="J376" s="3" t="n">
        <v>24.9</v>
      </c>
      <c r="K376" s="3" t="n">
        <v>24.9</v>
      </c>
      <c r="L376" s="4" t="n">
        <v>0.1</v>
      </c>
      <c r="M376" s="3" t="n">
        <v>2.49</v>
      </c>
      <c r="N376" s="3" t="n">
        <v>3.36</v>
      </c>
      <c r="O376" s="3" t="n">
        <f aca="false">K376-M376-N376</f>
        <v>19.05</v>
      </c>
      <c r="P376" s="4" t="n">
        <v>0.21</v>
      </c>
      <c r="Q376" s="3" t="n">
        <v>15.74</v>
      </c>
      <c r="R376" s="3" t="n">
        <f aca="false">O376-Q376</f>
        <v>3.31</v>
      </c>
      <c r="S376" s="3" t="n">
        <v>9.8</v>
      </c>
      <c r="T376" s="3" t="n">
        <f aca="false">Q376-S376</f>
        <v>5.94</v>
      </c>
      <c r="U376" s="4" t="n">
        <f aca="false">IF(Q376=0,0,T376/Q376)</f>
        <v>0.377382465057179</v>
      </c>
      <c r="V376" s="2" t="s">
        <v>126</v>
      </c>
      <c r="W376" s="2" t="s">
        <v>154</v>
      </c>
      <c r="X376" s="2" t="s">
        <v>132</v>
      </c>
    </row>
    <row r="377" customFormat="false" ht="15" hidden="false" customHeight="false" outlineLevel="0" collapsed="false">
      <c r="A377" s="5" t="n">
        <v>376</v>
      </c>
      <c r="B377" s="5" t="s">
        <v>414</v>
      </c>
      <c r="C377" s="13" t="n">
        <v>46086</v>
      </c>
      <c r="D377" s="5" t="s">
        <v>173</v>
      </c>
      <c r="E377" s="5" t="s">
        <v>57</v>
      </c>
      <c r="F377" s="5" t="s">
        <v>58</v>
      </c>
      <c r="G377" s="5" t="s">
        <v>59</v>
      </c>
      <c r="H377" s="5" t="s">
        <v>60</v>
      </c>
      <c r="I377" s="11" t="n">
        <v>1</v>
      </c>
      <c r="J377" s="6" t="n">
        <v>39.9</v>
      </c>
      <c r="K377" s="6" t="n">
        <v>39.9</v>
      </c>
      <c r="L377" s="7" t="n">
        <v>0</v>
      </c>
      <c r="M377" s="6" t="n">
        <v>0</v>
      </c>
      <c r="N377" s="6" t="n">
        <v>5.99</v>
      </c>
      <c r="O377" s="6" t="n">
        <f aca="false">K377-M377-N377</f>
        <v>33.91</v>
      </c>
      <c r="P377" s="7" t="n">
        <v>0.21</v>
      </c>
      <c r="Q377" s="6" t="n">
        <v>28.02</v>
      </c>
      <c r="R377" s="6" t="n">
        <f aca="false">O377-Q377</f>
        <v>5.89</v>
      </c>
      <c r="S377" s="6" t="n">
        <v>16</v>
      </c>
      <c r="T377" s="6" t="n">
        <f aca="false">Q377-S377</f>
        <v>12.02</v>
      </c>
      <c r="U377" s="7" t="n">
        <f aca="false">IF(Q377=0,0,T377/Q377)</f>
        <v>0.428979300499643</v>
      </c>
      <c r="V377" s="5" t="s">
        <v>126</v>
      </c>
      <c r="W377" s="5" t="s">
        <v>154</v>
      </c>
      <c r="X377" s="5" t="s">
        <v>132</v>
      </c>
    </row>
    <row r="378" customFormat="false" ht="15" hidden="false" customHeight="false" outlineLevel="0" collapsed="false">
      <c r="A378" s="2" t="n">
        <v>377</v>
      </c>
      <c r="B378" s="2" t="s">
        <v>414</v>
      </c>
      <c r="C378" s="12" t="n">
        <v>46086</v>
      </c>
      <c r="D378" s="2" t="s">
        <v>173</v>
      </c>
      <c r="E378" s="2" t="s">
        <v>11</v>
      </c>
      <c r="F378" s="2" t="s">
        <v>12</v>
      </c>
      <c r="G378" s="2" t="s">
        <v>13</v>
      </c>
      <c r="H378" s="2" t="s">
        <v>14</v>
      </c>
      <c r="I378" s="9" t="n">
        <v>2</v>
      </c>
      <c r="J378" s="3" t="n">
        <v>89.9</v>
      </c>
      <c r="K378" s="3" t="n">
        <v>179.8</v>
      </c>
      <c r="L378" s="4" t="n">
        <v>0</v>
      </c>
      <c r="M378" s="3" t="n">
        <v>0</v>
      </c>
      <c r="N378" s="3" t="n">
        <v>26.97</v>
      </c>
      <c r="O378" s="3" t="n">
        <f aca="false">K378-M378-N378</f>
        <v>152.83</v>
      </c>
      <c r="P378" s="4" t="n">
        <v>0.21</v>
      </c>
      <c r="Q378" s="3" t="n">
        <v>126.31</v>
      </c>
      <c r="R378" s="3" t="n">
        <f aca="false">O378-Q378</f>
        <v>26.52</v>
      </c>
      <c r="S378" s="3" t="n">
        <v>77</v>
      </c>
      <c r="T378" s="3" t="n">
        <f aca="false">Q378-S378</f>
        <v>49.31</v>
      </c>
      <c r="U378" s="4" t="n">
        <f aca="false">IF(Q378=0,0,T378/Q378)</f>
        <v>0.390388726149949</v>
      </c>
      <c r="V378" s="2" t="s">
        <v>126</v>
      </c>
      <c r="W378" s="2" t="s">
        <v>154</v>
      </c>
      <c r="X378" s="2" t="s">
        <v>132</v>
      </c>
    </row>
    <row r="379" customFormat="false" ht="15" hidden="false" customHeight="false" outlineLevel="0" collapsed="false">
      <c r="A379" s="5" t="n">
        <v>378</v>
      </c>
      <c r="B379" s="5" t="s">
        <v>415</v>
      </c>
      <c r="C379" s="13" t="n">
        <v>46089</v>
      </c>
      <c r="D379" s="5" t="s">
        <v>164</v>
      </c>
      <c r="E379" s="5" t="s">
        <v>20</v>
      </c>
      <c r="F379" s="5" t="s">
        <v>21</v>
      </c>
      <c r="G379" s="5" t="s">
        <v>22</v>
      </c>
      <c r="H379" s="5" t="s">
        <v>23</v>
      </c>
      <c r="I379" s="11" t="n">
        <v>1</v>
      </c>
      <c r="J379" s="6" t="n">
        <v>799</v>
      </c>
      <c r="K379" s="6" t="n">
        <v>799</v>
      </c>
      <c r="L379" s="7" t="n">
        <v>0</v>
      </c>
      <c r="M379" s="6" t="n">
        <v>0</v>
      </c>
      <c r="N379" s="6" t="n">
        <v>0</v>
      </c>
      <c r="O379" s="6" t="n">
        <f aca="false">K379-M379-N379</f>
        <v>799</v>
      </c>
      <c r="P379" s="7" t="n">
        <v>0.21</v>
      </c>
      <c r="Q379" s="6" t="n">
        <v>660.33</v>
      </c>
      <c r="R379" s="6" t="n">
        <f aca="false">O379-Q379</f>
        <v>138.67</v>
      </c>
      <c r="S379" s="6" t="n">
        <v>550</v>
      </c>
      <c r="T379" s="6" t="n">
        <f aca="false">Q379-S379</f>
        <v>110.33</v>
      </c>
      <c r="U379" s="7" t="n">
        <f aca="false">IF(Q379=0,0,T379/Q379)</f>
        <v>0.167083125104115</v>
      </c>
      <c r="V379" s="5" t="s">
        <v>126</v>
      </c>
      <c r="W379" s="5" t="s">
        <v>156</v>
      </c>
      <c r="X379" s="5" t="s">
        <v>231</v>
      </c>
    </row>
    <row r="380" customFormat="false" ht="15" hidden="false" customHeight="false" outlineLevel="0" collapsed="false">
      <c r="A380" s="2" t="n">
        <v>379</v>
      </c>
      <c r="B380" s="2" t="s">
        <v>416</v>
      </c>
      <c r="C380" s="12" t="n">
        <v>46090</v>
      </c>
      <c r="D380" s="2" t="s">
        <v>217</v>
      </c>
      <c r="E380" s="2" t="s">
        <v>67</v>
      </c>
      <c r="F380" s="2" t="s">
        <v>68</v>
      </c>
      <c r="G380" s="2" t="s">
        <v>65</v>
      </c>
      <c r="H380" s="2" t="s">
        <v>66</v>
      </c>
      <c r="I380" s="9" t="n">
        <v>1</v>
      </c>
      <c r="J380" s="3" t="n">
        <v>64.9</v>
      </c>
      <c r="K380" s="3" t="n">
        <v>64.9</v>
      </c>
      <c r="L380" s="4" t="n">
        <v>0</v>
      </c>
      <c r="M380" s="3" t="n">
        <v>0</v>
      </c>
      <c r="N380" s="3" t="n">
        <v>6.49</v>
      </c>
      <c r="O380" s="3" t="n">
        <f aca="false">K380-M380-N380</f>
        <v>58.41</v>
      </c>
      <c r="P380" s="4" t="n">
        <v>0.21</v>
      </c>
      <c r="Q380" s="3" t="n">
        <v>48.27</v>
      </c>
      <c r="R380" s="3" t="n">
        <f aca="false">O380-Q380</f>
        <v>10.14</v>
      </c>
      <c r="S380" s="3" t="n">
        <v>28</v>
      </c>
      <c r="T380" s="3" t="n">
        <f aca="false">Q380-S380</f>
        <v>20.27</v>
      </c>
      <c r="U380" s="4" t="n">
        <f aca="false">IF(Q380=0,0,T380/Q380)</f>
        <v>0.419929562875492</v>
      </c>
      <c r="V380" s="2" t="s">
        <v>126</v>
      </c>
      <c r="W380" s="2" t="s">
        <v>177</v>
      </c>
      <c r="X380" s="2" t="s">
        <v>132</v>
      </c>
    </row>
    <row r="381" customFormat="false" ht="15" hidden="false" customHeight="false" outlineLevel="0" collapsed="false">
      <c r="A381" s="5" t="n">
        <v>380</v>
      </c>
      <c r="B381" s="5" t="s">
        <v>417</v>
      </c>
      <c r="C381" s="13" t="n">
        <v>46090</v>
      </c>
      <c r="D381" s="5" t="s">
        <v>127</v>
      </c>
      <c r="E381" s="5" t="s">
        <v>81</v>
      </c>
      <c r="F381" s="5" t="s">
        <v>82</v>
      </c>
      <c r="G381" s="5" t="s">
        <v>79</v>
      </c>
      <c r="H381" s="5" t="s">
        <v>80</v>
      </c>
      <c r="I381" s="11" t="n">
        <v>1</v>
      </c>
      <c r="J381" s="6" t="n">
        <v>19.9</v>
      </c>
      <c r="K381" s="6" t="n">
        <v>19.9</v>
      </c>
      <c r="L381" s="7" t="n">
        <v>0</v>
      </c>
      <c r="M381" s="6" t="n">
        <v>0</v>
      </c>
      <c r="N381" s="6" t="n">
        <v>2.99</v>
      </c>
      <c r="O381" s="6" t="n">
        <f aca="false">K381-M381-N381</f>
        <v>16.91</v>
      </c>
      <c r="P381" s="7" t="n">
        <v>0.21</v>
      </c>
      <c r="Q381" s="6" t="n">
        <v>13.98</v>
      </c>
      <c r="R381" s="6" t="n">
        <f aca="false">O381-Q381</f>
        <v>2.93</v>
      </c>
      <c r="S381" s="6" t="n">
        <v>7</v>
      </c>
      <c r="T381" s="6" t="n">
        <f aca="false">Q381-S381</f>
        <v>6.98</v>
      </c>
      <c r="U381" s="7" t="n">
        <f aca="false">IF(Q381=0,0,T381/Q381)</f>
        <v>0.49928469241774</v>
      </c>
      <c r="V381" s="5" t="s">
        <v>138</v>
      </c>
      <c r="W381" s="5" t="s">
        <v>177</v>
      </c>
      <c r="X381" s="5" t="s">
        <v>132</v>
      </c>
    </row>
    <row r="382" customFormat="false" ht="15" hidden="false" customHeight="false" outlineLevel="0" collapsed="false">
      <c r="A382" s="2" t="n">
        <v>381</v>
      </c>
      <c r="B382" s="2" t="s">
        <v>417</v>
      </c>
      <c r="C382" s="12" t="n">
        <v>46090</v>
      </c>
      <c r="D382" s="2" t="s">
        <v>127</v>
      </c>
      <c r="E382" s="2" t="s">
        <v>92</v>
      </c>
      <c r="F382" s="2" t="s">
        <v>93</v>
      </c>
      <c r="G382" s="2" t="s">
        <v>94</v>
      </c>
      <c r="H382" s="2" t="s">
        <v>95</v>
      </c>
      <c r="I382" s="9" t="n">
        <v>3</v>
      </c>
      <c r="J382" s="3" t="n">
        <v>4.49</v>
      </c>
      <c r="K382" s="3" t="n">
        <v>13.47</v>
      </c>
      <c r="L382" s="4" t="n">
        <v>0</v>
      </c>
      <c r="M382" s="3" t="n">
        <v>0</v>
      </c>
      <c r="N382" s="3" t="n">
        <v>2.02</v>
      </c>
      <c r="O382" s="3" t="n">
        <f aca="false">K382-M382-N382</f>
        <v>11.45</v>
      </c>
      <c r="P382" s="4" t="n">
        <v>0.1</v>
      </c>
      <c r="Q382" s="3" t="n">
        <v>10.41</v>
      </c>
      <c r="R382" s="3" t="n">
        <f aca="false">O382-Q382</f>
        <v>1.04</v>
      </c>
      <c r="S382" s="3" t="n">
        <v>6.3</v>
      </c>
      <c r="T382" s="3" t="n">
        <f aca="false">Q382-S382</f>
        <v>4.11</v>
      </c>
      <c r="U382" s="4" t="n">
        <f aca="false">IF(Q382=0,0,T382/Q382)</f>
        <v>0.394812680115274</v>
      </c>
      <c r="V382" s="2" t="s">
        <v>138</v>
      </c>
      <c r="W382" s="2" t="s">
        <v>177</v>
      </c>
      <c r="X382" s="2" t="s">
        <v>132</v>
      </c>
    </row>
    <row r="383" customFormat="false" ht="15" hidden="false" customHeight="false" outlineLevel="0" collapsed="false">
      <c r="A383" s="5" t="n">
        <v>382</v>
      </c>
      <c r="B383" s="5" t="s">
        <v>417</v>
      </c>
      <c r="C383" s="13" t="n">
        <v>46090</v>
      </c>
      <c r="D383" s="5" t="s">
        <v>127</v>
      </c>
      <c r="E383" s="5" t="s">
        <v>69</v>
      </c>
      <c r="F383" s="5" t="s">
        <v>70</v>
      </c>
      <c r="G383" s="5" t="s">
        <v>71</v>
      </c>
      <c r="H383" s="5" t="s">
        <v>72</v>
      </c>
      <c r="I383" s="11" t="n">
        <v>1</v>
      </c>
      <c r="J383" s="6" t="n">
        <v>22.9</v>
      </c>
      <c r="K383" s="6" t="n">
        <v>22.9</v>
      </c>
      <c r="L383" s="7" t="n">
        <v>0</v>
      </c>
      <c r="M383" s="6" t="n">
        <v>0</v>
      </c>
      <c r="N383" s="6" t="n">
        <v>3.43</v>
      </c>
      <c r="O383" s="6" t="n">
        <f aca="false">K383-M383-N383</f>
        <v>19.47</v>
      </c>
      <c r="P383" s="7" t="n">
        <v>0.21</v>
      </c>
      <c r="Q383" s="6" t="n">
        <v>16.09</v>
      </c>
      <c r="R383" s="6" t="n">
        <f aca="false">O383-Q383</f>
        <v>3.38</v>
      </c>
      <c r="S383" s="6" t="n">
        <v>8</v>
      </c>
      <c r="T383" s="6" t="n">
        <f aca="false">Q383-S383</f>
        <v>8.09</v>
      </c>
      <c r="U383" s="7" t="n">
        <f aca="false">IF(Q383=0,0,T383/Q383)</f>
        <v>0.502796768178993</v>
      </c>
      <c r="V383" s="5" t="s">
        <v>138</v>
      </c>
      <c r="W383" s="5" t="s">
        <v>177</v>
      </c>
      <c r="X383" s="5" t="s">
        <v>132</v>
      </c>
    </row>
    <row r="384" customFormat="false" ht="15" hidden="false" customHeight="false" outlineLevel="0" collapsed="false">
      <c r="A384" s="2" t="n">
        <v>383</v>
      </c>
      <c r="B384" s="2" t="s">
        <v>418</v>
      </c>
      <c r="C384" s="12" t="n">
        <v>46092</v>
      </c>
      <c r="D384" s="2" t="s">
        <v>127</v>
      </c>
      <c r="E384" s="2" t="s">
        <v>96</v>
      </c>
      <c r="F384" s="2" t="s">
        <v>97</v>
      </c>
      <c r="G384" s="2" t="s">
        <v>94</v>
      </c>
      <c r="H384" s="2" t="s">
        <v>95</v>
      </c>
      <c r="I384" s="9" t="n">
        <v>1</v>
      </c>
      <c r="J384" s="3" t="n">
        <v>7.99</v>
      </c>
      <c r="K384" s="3" t="n">
        <v>7.99</v>
      </c>
      <c r="L384" s="4" t="n">
        <v>0.15</v>
      </c>
      <c r="M384" s="3" t="n">
        <v>1.2</v>
      </c>
      <c r="N384" s="3" t="n">
        <v>1.36</v>
      </c>
      <c r="O384" s="3" t="n">
        <f aca="false">K384-M384-N384</f>
        <v>5.43</v>
      </c>
      <c r="P384" s="4" t="n">
        <v>0.1</v>
      </c>
      <c r="Q384" s="3" t="n">
        <v>4.94</v>
      </c>
      <c r="R384" s="3" t="n">
        <f aca="false">O384-Q384</f>
        <v>0.489999999999999</v>
      </c>
      <c r="S384" s="3" t="n">
        <v>3.4</v>
      </c>
      <c r="T384" s="3" t="n">
        <f aca="false">Q384-S384</f>
        <v>1.54</v>
      </c>
      <c r="U384" s="4" t="n">
        <f aca="false">IF(Q384=0,0,T384/Q384)</f>
        <v>0.311740890688259</v>
      </c>
      <c r="V384" s="2" t="s">
        <v>126</v>
      </c>
      <c r="W384" s="2" t="s">
        <v>154</v>
      </c>
      <c r="X384" s="2" t="s">
        <v>185</v>
      </c>
    </row>
    <row r="385" customFormat="false" ht="15" hidden="false" customHeight="false" outlineLevel="0" collapsed="false">
      <c r="A385" s="5" t="n">
        <v>384</v>
      </c>
      <c r="B385" s="5" t="s">
        <v>418</v>
      </c>
      <c r="C385" s="13" t="n">
        <v>46092</v>
      </c>
      <c r="D385" s="5" t="s">
        <v>127</v>
      </c>
      <c r="E385" s="5" t="s">
        <v>53</v>
      </c>
      <c r="F385" s="5" t="s">
        <v>54</v>
      </c>
      <c r="G385" s="5" t="s">
        <v>51</v>
      </c>
      <c r="H385" s="5" t="s">
        <v>52</v>
      </c>
      <c r="I385" s="11" t="n">
        <v>1</v>
      </c>
      <c r="J385" s="6" t="n">
        <v>59.9</v>
      </c>
      <c r="K385" s="6" t="n">
        <v>59.9</v>
      </c>
      <c r="L385" s="7" t="n">
        <v>0</v>
      </c>
      <c r="M385" s="6" t="n">
        <v>0</v>
      </c>
      <c r="N385" s="6" t="n">
        <v>11.98</v>
      </c>
      <c r="O385" s="6" t="n">
        <f aca="false">K385-M385-N385</f>
        <v>47.92</v>
      </c>
      <c r="P385" s="7" t="n">
        <v>0.21</v>
      </c>
      <c r="Q385" s="6" t="n">
        <v>39.6</v>
      </c>
      <c r="R385" s="6" t="n">
        <f aca="false">O385-Q385</f>
        <v>8.32</v>
      </c>
      <c r="S385" s="6" t="n">
        <v>26</v>
      </c>
      <c r="T385" s="6" t="n">
        <f aca="false">Q385-S385</f>
        <v>13.6</v>
      </c>
      <c r="U385" s="7" t="n">
        <f aca="false">IF(Q385=0,0,T385/Q385)</f>
        <v>0.343434343434344</v>
      </c>
      <c r="V385" s="5" t="s">
        <v>126</v>
      </c>
      <c r="W385" s="5" t="s">
        <v>154</v>
      </c>
      <c r="X385" s="5" t="s">
        <v>185</v>
      </c>
    </row>
    <row r="386" customFormat="false" ht="15" hidden="false" customHeight="false" outlineLevel="0" collapsed="false">
      <c r="A386" s="2" t="n">
        <v>385</v>
      </c>
      <c r="B386" s="2" t="s">
        <v>418</v>
      </c>
      <c r="C386" s="12" t="n">
        <v>46092</v>
      </c>
      <c r="D386" s="2" t="s">
        <v>127</v>
      </c>
      <c r="E386" s="2" t="s">
        <v>89</v>
      </c>
      <c r="F386" s="2" t="s">
        <v>90</v>
      </c>
      <c r="G386" s="2" t="s">
        <v>91</v>
      </c>
      <c r="H386" s="2" t="s">
        <v>86</v>
      </c>
      <c r="I386" s="9" t="n">
        <v>12</v>
      </c>
      <c r="J386" s="3" t="n">
        <v>4.99</v>
      </c>
      <c r="K386" s="3" t="n">
        <v>59.88</v>
      </c>
      <c r="L386" s="4" t="n">
        <v>0</v>
      </c>
      <c r="M386" s="3" t="n">
        <v>0</v>
      </c>
      <c r="N386" s="3" t="n">
        <v>11.97</v>
      </c>
      <c r="O386" s="3" t="n">
        <f aca="false">K386-M386-N386</f>
        <v>47.91</v>
      </c>
      <c r="P386" s="4" t="n">
        <v>0.1</v>
      </c>
      <c r="Q386" s="3" t="n">
        <v>43.55</v>
      </c>
      <c r="R386" s="3" t="n">
        <f aca="false">O386-Q386</f>
        <v>4.36000000000001</v>
      </c>
      <c r="S386" s="3" t="n">
        <v>27.6</v>
      </c>
      <c r="T386" s="3" t="n">
        <f aca="false">Q386-S386</f>
        <v>15.95</v>
      </c>
      <c r="U386" s="4" t="n">
        <f aca="false">IF(Q386=0,0,T386/Q386)</f>
        <v>0.366245694603904</v>
      </c>
      <c r="V386" s="2" t="s">
        <v>126</v>
      </c>
      <c r="W386" s="2" t="s">
        <v>154</v>
      </c>
      <c r="X386" s="2" t="s">
        <v>185</v>
      </c>
    </row>
    <row r="387" customFormat="false" ht="15" hidden="false" customHeight="false" outlineLevel="0" collapsed="false">
      <c r="A387" s="5" t="n">
        <v>386</v>
      </c>
      <c r="B387" s="5" t="s">
        <v>419</v>
      </c>
      <c r="C387" s="13" t="n">
        <v>46095</v>
      </c>
      <c r="D387" s="5" t="s">
        <v>202</v>
      </c>
      <c r="E387" s="5" t="s">
        <v>20</v>
      </c>
      <c r="F387" s="5" t="s">
        <v>21</v>
      </c>
      <c r="G387" s="5" t="s">
        <v>22</v>
      </c>
      <c r="H387" s="5" t="s">
        <v>23</v>
      </c>
      <c r="I387" s="11" t="n">
        <v>1</v>
      </c>
      <c r="J387" s="6" t="n">
        <v>799</v>
      </c>
      <c r="K387" s="6" t="n">
        <v>799</v>
      </c>
      <c r="L387" s="7" t="n">
        <v>0</v>
      </c>
      <c r="M387" s="6" t="n">
        <v>0</v>
      </c>
      <c r="N387" s="6" t="n">
        <v>79.9</v>
      </c>
      <c r="O387" s="6" t="n">
        <f aca="false">K387-M387-N387</f>
        <v>719.1</v>
      </c>
      <c r="P387" s="7" t="n">
        <v>0.21</v>
      </c>
      <c r="Q387" s="6" t="n">
        <v>594.3</v>
      </c>
      <c r="R387" s="6" t="n">
        <f aca="false">O387-Q387</f>
        <v>124.8</v>
      </c>
      <c r="S387" s="6" t="n">
        <v>550</v>
      </c>
      <c r="T387" s="6" t="n">
        <f aca="false">Q387-S387</f>
        <v>44.3</v>
      </c>
      <c r="U387" s="7" t="n">
        <f aca="false">IF(Q387=0,0,T387/Q387)</f>
        <v>0.0745414773683324</v>
      </c>
      <c r="V387" s="5" t="s">
        <v>138</v>
      </c>
      <c r="W387" s="5" t="s">
        <v>156</v>
      </c>
      <c r="X387" s="5" t="s">
        <v>132</v>
      </c>
    </row>
    <row r="388" customFormat="false" ht="15" hidden="false" customHeight="false" outlineLevel="0" collapsed="false">
      <c r="A388" s="2" t="n">
        <v>387</v>
      </c>
      <c r="B388" s="2" t="s">
        <v>420</v>
      </c>
      <c r="C388" s="12" t="n">
        <v>46095</v>
      </c>
      <c r="D388" s="2" t="s">
        <v>179</v>
      </c>
      <c r="E388" s="2" t="s">
        <v>18</v>
      </c>
      <c r="F388" s="2" t="s">
        <v>19</v>
      </c>
      <c r="G388" s="2" t="s">
        <v>13</v>
      </c>
      <c r="H388" s="2" t="s">
        <v>14</v>
      </c>
      <c r="I388" s="9" t="n">
        <v>2</v>
      </c>
      <c r="J388" s="3" t="n">
        <v>199</v>
      </c>
      <c r="K388" s="3" t="n">
        <v>398</v>
      </c>
      <c r="L388" s="4" t="n">
        <v>0.15</v>
      </c>
      <c r="M388" s="3" t="n">
        <v>59.7</v>
      </c>
      <c r="N388" s="3" t="n">
        <v>0</v>
      </c>
      <c r="O388" s="3" t="n">
        <f aca="false">K388-M388-N388</f>
        <v>338.3</v>
      </c>
      <c r="P388" s="4" t="n">
        <v>0.21</v>
      </c>
      <c r="Q388" s="3" t="n">
        <v>279.59</v>
      </c>
      <c r="R388" s="3" t="n">
        <f aca="false">O388-Q388</f>
        <v>58.71</v>
      </c>
      <c r="S388" s="3" t="n">
        <v>190</v>
      </c>
      <c r="T388" s="3" t="n">
        <f aca="false">Q388-S388</f>
        <v>89.59</v>
      </c>
      <c r="U388" s="4" t="n">
        <f aca="false">IF(Q388=0,0,T388/Q388)</f>
        <v>0.320433491898852</v>
      </c>
      <c r="V388" s="2" t="s">
        <v>148</v>
      </c>
      <c r="W388" s="2" t="s">
        <v>136</v>
      </c>
      <c r="X388" s="2" t="s">
        <v>132</v>
      </c>
    </row>
    <row r="389" customFormat="false" ht="15" hidden="false" customHeight="false" outlineLevel="0" collapsed="false">
      <c r="A389" s="5" t="n">
        <v>388</v>
      </c>
      <c r="B389" s="5" t="s">
        <v>421</v>
      </c>
      <c r="C389" s="13" t="n">
        <v>46099</v>
      </c>
      <c r="D389" s="5" t="s">
        <v>158</v>
      </c>
      <c r="E389" s="5" t="s">
        <v>75</v>
      </c>
      <c r="F389" s="5" t="s">
        <v>76</v>
      </c>
      <c r="G389" s="5" t="s">
        <v>71</v>
      </c>
      <c r="H389" s="5" t="s">
        <v>72</v>
      </c>
      <c r="I389" s="11" t="n">
        <v>1</v>
      </c>
      <c r="J389" s="6" t="n">
        <v>449</v>
      </c>
      <c r="K389" s="6" t="n">
        <v>449</v>
      </c>
      <c r="L389" s="7" t="n">
        <v>0</v>
      </c>
      <c r="M389" s="6" t="n">
        <v>0</v>
      </c>
      <c r="N389" s="6" t="n">
        <v>0</v>
      </c>
      <c r="O389" s="6" t="n">
        <f aca="false">K389-M389-N389</f>
        <v>449</v>
      </c>
      <c r="P389" s="7" t="n">
        <v>0.21</v>
      </c>
      <c r="Q389" s="6" t="n">
        <v>371.07</v>
      </c>
      <c r="R389" s="6" t="n">
        <f aca="false">O389-Q389</f>
        <v>77.93</v>
      </c>
      <c r="S389" s="6" t="n">
        <v>360</v>
      </c>
      <c r="T389" s="6" t="n">
        <f aca="false">Q389-S389</f>
        <v>11.07</v>
      </c>
      <c r="U389" s="7" t="n">
        <f aca="false">IF(Q389=0,0,T389/Q389)</f>
        <v>0.0298326461314577</v>
      </c>
      <c r="V389" s="5" t="s">
        <v>148</v>
      </c>
      <c r="W389" s="5" t="s">
        <v>154</v>
      </c>
      <c r="X389" s="5" t="s">
        <v>132</v>
      </c>
    </row>
    <row r="390" customFormat="false" ht="15" hidden="false" customHeight="false" outlineLevel="0" collapsed="false">
      <c r="A390" s="2" t="n">
        <v>389</v>
      </c>
      <c r="B390" s="2" t="s">
        <v>422</v>
      </c>
      <c r="C390" s="12" t="n">
        <v>46101</v>
      </c>
      <c r="D390" s="2" t="s">
        <v>127</v>
      </c>
      <c r="E390" s="2" t="s">
        <v>96</v>
      </c>
      <c r="F390" s="2" t="s">
        <v>97</v>
      </c>
      <c r="G390" s="2" t="s">
        <v>94</v>
      </c>
      <c r="H390" s="2" t="s">
        <v>95</v>
      </c>
      <c r="I390" s="9" t="n">
        <v>2</v>
      </c>
      <c r="J390" s="3" t="n">
        <v>7.99</v>
      </c>
      <c r="K390" s="3" t="n">
        <v>15.98</v>
      </c>
      <c r="L390" s="4" t="n">
        <v>0</v>
      </c>
      <c r="M390" s="3" t="n">
        <v>0</v>
      </c>
      <c r="N390" s="3" t="n">
        <v>0</v>
      </c>
      <c r="O390" s="3" t="n">
        <f aca="false">K390-M390-N390</f>
        <v>15.98</v>
      </c>
      <c r="P390" s="4" t="n">
        <v>0.1</v>
      </c>
      <c r="Q390" s="3" t="n">
        <v>14.53</v>
      </c>
      <c r="R390" s="3" t="n">
        <f aca="false">O390-Q390</f>
        <v>1.45</v>
      </c>
      <c r="S390" s="3" t="n">
        <v>6.8</v>
      </c>
      <c r="T390" s="3" t="n">
        <f aca="false">Q390-S390</f>
        <v>7.73</v>
      </c>
      <c r="U390" s="4" t="n">
        <f aca="false">IF(Q390=0,0,T390/Q390)</f>
        <v>0.532002752924983</v>
      </c>
      <c r="V390" s="2" t="s">
        <v>172</v>
      </c>
      <c r="W390" s="2" t="s">
        <v>177</v>
      </c>
      <c r="X390" s="2" t="s">
        <v>132</v>
      </c>
    </row>
    <row r="391" customFormat="false" ht="15" hidden="false" customHeight="false" outlineLevel="0" collapsed="false">
      <c r="A391" s="5" t="n">
        <v>390</v>
      </c>
      <c r="B391" s="5" t="s">
        <v>423</v>
      </c>
      <c r="C391" s="13" t="n">
        <v>46102</v>
      </c>
      <c r="D391" s="5" t="s">
        <v>139</v>
      </c>
      <c r="E391" s="5" t="s">
        <v>87</v>
      </c>
      <c r="F391" s="5" t="s">
        <v>88</v>
      </c>
      <c r="G391" s="5" t="s">
        <v>85</v>
      </c>
      <c r="H391" s="5" t="s">
        <v>86</v>
      </c>
      <c r="I391" s="11" t="n">
        <v>1</v>
      </c>
      <c r="J391" s="6" t="n">
        <v>2.49</v>
      </c>
      <c r="K391" s="6" t="n">
        <v>2.49</v>
      </c>
      <c r="L391" s="7" t="n">
        <v>0</v>
      </c>
      <c r="M391" s="6" t="n">
        <v>0</v>
      </c>
      <c r="N391" s="6" t="n">
        <v>0.25</v>
      </c>
      <c r="O391" s="6" t="n">
        <f aca="false">K391-M391-N391</f>
        <v>2.24</v>
      </c>
      <c r="P391" s="7" t="n">
        <v>0.1</v>
      </c>
      <c r="Q391" s="6" t="n">
        <v>2.04</v>
      </c>
      <c r="R391" s="6" t="n">
        <f aca="false">O391-Q391</f>
        <v>0.2</v>
      </c>
      <c r="S391" s="6" t="n">
        <v>1.5</v>
      </c>
      <c r="T391" s="6" t="n">
        <f aca="false">Q391-S391</f>
        <v>0.54</v>
      </c>
      <c r="U391" s="7" t="n">
        <f aca="false">IF(Q391=0,0,T391/Q391)</f>
        <v>0.264705882352941</v>
      </c>
      <c r="V391" s="5" t="s">
        <v>126</v>
      </c>
      <c r="W391" s="5" t="s">
        <v>136</v>
      </c>
      <c r="X391" s="5" t="s">
        <v>132</v>
      </c>
    </row>
    <row r="392" customFormat="false" ht="15" hidden="false" customHeight="false" outlineLevel="0" collapsed="false">
      <c r="A392" s="2" t="n">
        <v>391</v>
      </c>
      <c r="B392" s="2" t="s">
        <v>423</v>
      </c>
      <c r="C392" s="12" t="n">
        <v>46102</v>
      </c>
      <c r="D392" s="2" t="s">
        <v>139</v>
      </c>
      <c r="E392" s="2" t="s">
        <v>28</v>
      </c>
      <c r="F392" s="2" t="s">
        <v>29</v>
      </c>
      <c r="G392" s="2" t="s">
        <v>30</v>
      </c>
      <c r="H392" s="2" t="s">
        <v>23</v>
      </c>
      <c r="I392" s="9" t="n">
        <v>1</v>
      </c>
      <c r="J392" s="3" t="n">
        <v>289</v>
      </c>
      <c r="K392" s="3" t="n">
        <v>289</v>
      </c>
      <c r="L392" s="4" t="n">
        <v>0</v>
      </c>
      <c r="M392" s="3" t="n">
        <v>0</v>
      </c>
      <c r="N392" s="3" t="n">
        <v>28.9</v>
      </c>
      <c r="O392" s="3" t="n">
        <f aca="false">K392-M392-N392</f>
        <v>260.1</v>
      </c>
      <c r="P392" s="4" t="n">
        <v>0.21</v>
      </c>
      <c r="Q392" s="3" t="n">
        <v>214.96</v>
      </c>
      <c r="R392" s="3" t="n">
        <f aca="false">O392-Q392</f>
        <v>45.14</v>
      </c>
      <c r="S392" s="3" t="n">
        <v>140</v>
      </c>
      <c r="T392" s="3" t="n">
        <f aca="false">Q392-S392</f>
        <v>74.96</v>
      </c>
      <c r="U392" s="4" t="n">
        <f aca="false">IF(Q392=0,0,T392/Q392)</f>
        <v>0.348716040193524</v>
      </c>
      <c r="V392" s="2" t="s">
        <v>126</v>
      </c>
      <c r="W392" s="2" t="s">
        <v>136</v>
      </c>
      <c r="X392" s="2" t="s">
        <v>132</v>
      </c>
    </row>
    <row r="393" customFormat="false" ht="15" hidden="false" customHeight="false" outlineLevel="0" collapsed="false">
      <c r="A393" s="5" t="n">
        <v>392</v>
      </c>
      <c r="B393" s="5" t="s">
        <v>424</v>
      </c>
      <c r="C393" s="13" t="n">
        <v>46102</v>
      </c>
      <c r="D393" s="5" t="s">
        <v>202</v>
      </c>
      <c r="E393" s="5" t="s">
        <v>77</v>
      </c>
      <c r="F393" s="5" t="s">
        <v>78</v>
      </c>
      <c r="G393" s="5" t="s">
        <v>79</v>
      </c>
      <c r="H393" s="5" t="s">
        <v>80</v>
      </c>
      <c r="I393" s="11" t="n">
        <v>2</v>
      </c>
      <c r="J393" s="6" t="n">
        <v>59.9</v>
      </c>
      <c r="K393" s="6" t="n">
        <v>119.8</v>
      </c>
      <c r="L393" s="7" t="n">
        <v>0</v>
      </c>
      <c r="M393" s="6" t="n">
        <v>0</v>
      </c>
      <c r="N393" s="6" t="n">
        <v>0</v>
      </c>
      <c r="O393" s="6" t="n">
        <f aca="false">K393-M393-N393</f>
        <v>119.8</v>
      </c>
      <c r="P393" s="7" t="n">
        <v>0.21</v>
      </c>
      <c r="Q393" s="6" t="n">
        <v>99.01</v>
      </c>
      <c r="R393" s="6" t="n">
        <f aca="false">O393-Q393</f>
        <v>20.79</v>
      </c>
      <c r="S393" s="6" t="n">
        <v>48</v>
      </c>
      <c r="T393" s="6" t="n">
        <f aca="false">Q393-S393</f>
        <v>51.01</v>
      </c>
      <c r="U393" s="7" t="n">
        <f aca="false">IF(Q393=0,0,T393/Q393)</f>
        <v>0.515200484799515</v>
      </c>
      <c r="V393" s="5" t="s">
        <v>138</v>
      </c>
      <c r="W393" s="5" t="s">
        <v>156</v>
      </c>
      <c r="X393" s="5" t="s">
        <v>132</v>
      </c>
    </row>
    <row r="394" customFormat="false" ht="15" hidden="false" customHeight="false" outlineLevel="0" collapsed="false">
      <c r="A394" s="2" t="n">
        <v>393</v>
      </c>
      <c r="B394" s="2" t="s">
        <v>425</v>
      </c>
      <c r="C394" s="12" t="n">
        <v>46103</v>
      </c>
      <c r="D394" s="2" t="s">
        <v>173</v>
      </c>
      <c r="E394" s="2" t="s">
        <v>96</v>
      </c>
      <c r="F394" s="2" t="s">
        <v>97</v>
      </c>
      <c r="G394" s="2" t="s">
        <v>94</v>
      </c>
      <c r="H394" s="2" t="s">
        <v>95</v>
      </c>
      <c r="I394" s="9" t="n">
        <v>5</v>
      </c>
      <c r="J394" s="3" t="n">
        <v>7.99</v>
      </c>
      <c r="K394" s="3" t="n">
        <v>39.95</v>
      </c>
      <c r="L394" s="4" t="n">
        <v>0.1</v>
      </c>
      <c r="M394" s="3" t="n">
        <v>4</v>
      </c>
      <c r="N394" s="3" t="n">
        <v>3.6</v>
      </c>
      <c r="O394" s="3" t="n">
        <f aca="false">K394-M394-N394</f>
        <v>32.35</v>
      </c>
      <c r="P394" s="4" t="n">
        <v>0.1</v>
      </c>
      <c r="Q394" s="3" t="n">
        <v>29.41</v>
      </c>
      <c r="R394" s="3" t="n">
        <f aca="false">O394-Q394</f>
        <v>2.94</v>
      </c>
      <c r="S394" s="3" t="n">
        <v>17</v>
      </c>
      <c r="T394" s="3" t="n">
        <f aca="false">Q394-S394</f>
        <v>12.41</v>
      </c>
      <c r="U394" s="4" t="n">
        <f aca="false">IF(Q394=0,0,T394/Q394)</f>
        <v>0.421965317919075</v>
      </c>
      <c r="V394" s="2" t="s">
        <v>148</v>
      </c>
      <c r="W394" s="2" t="s">
        <v>154</v>
      </c>
      <c r="X394" s="2" t="s">
        <v>132</v>
      </c>
    </row>
    <row r="395" customFormat="false" ht="15" hidden="false" customHeight="false" outlineLevel="0" collapsed="false">
      <c r="A395" s="5" t="n">
        <v>394</v>
      </c>
      <c r="B395" s="5" t="s">
        <v>426</v>
      </c>
      <c r="C395" s="13" t="n">
        <v>46105</v>
      </c>
      <c r="D395" s="5" t="s">
        <v>127</v>
      </c>
      <c r="E395" s="5" t="s">
        <v>69</v>
      </c>
      <c r="F395" s="5" t="s">
        <v>70</v>
      </c>
      <c r="G395" s="5" t="s">
        <v>71</v>
      </c>
      <c r="H395" s="5" t="s">
        <v>72</v>
      </c>
      <c r="I395" s="11" t="n">
        <v>1</v>
      </c>
      <c r="J395" s="6" t="n">
        <v>22.9</v>
      </c>
      <c r="K395" s="6" t="n">
        <v>22.9</v>
      </c>
      <c r="L395" s="7" t="n">
        <v>0</v>
      </c>
      <c r="M395" s="6" t="n">
        <v>0</v>
      </c>
      <c r="N395" s="6" t="n">
        <v>2.29</v>
      </c>
      <c r="O395" s="6" t="n">
        <f aca="false">K395-M395-N395</f>
        <v>20.61</v>
      </c>
      <c r="P395" s="7" t="n">
        <v>0.21</v>
      </c>
      <c r="Q395" s="6" t="n">
        <v>17.03</v>
      </c>
      <c r="R395" s="6" t="n">
        <f aca="false">O395-Q395</f>
        <v>3.58</v>
      </c>
      <c r="S395" s="6" t="n">
        <v>8</v>
      </c>
      <c r="T395" s="6" t="n">
        <f aca="false">Q395-S395</f>
        <v>9.03</v>
      </c>
      <c r="U395" s="7" t="n">
        <f aca="false">IF(Q395=0,0,T395/Q395)</f>
        <v>0.530240751614797</v>
      </c>
      <c r="V395" s="5" t="s">
        <v>126</v>
      </c>
      <c r="W395" s="5" t="s">
        <v>136</v>
      </c>
      <c r="X395" s="5" t="s">
        <v>132</v>
      </c>
    </row>
    <row r="396" customFormat="false" ht="15" hidden="false" customHeight="false" outlineLevel="0" collapsed="false">
      <c r="A396" s="2" t="n">
        <v>395</v>
      </c>
      <c r="B396" s="2" t="s">
        <v>427</v>
      </c>
      <c r="C396" s="12" t="n">
        <v>46107</v>
      </c>
      <c r="D396" s="2" t="s">
        <v>127</v>
      </c>
      <c r="E396" s="2" t="s">
        <v>73</v>
      </c>
      <c r="F396" s="2" t="s">
        <v>74</v>
      </c>
      <c r="G396" s="2" t="s">
        <v>71</v>
      </c>
      <c r="H396" s="2" t="s">
        <v>72</v>
      </c>
      <c r="I396" s="9" t="n">
        <v>6</v>
      </c>
      <c r="J396" s="3" t="n">
        <v>69.9</v>
      </c>
      <c r="K396" s="3" t="n">
        <v>419.4</v>
      </c>
      <c r="L396" s="4" t="n">
        <v>0.1</v>
      </c>
      <c r="M396" s="3" t="n">
        <v>41.94</v>
      </c>
      <c r="N396" s="3" t="n">
        <v>56.62</v>
      </c>
      <c r="O396" s="3" t="n">
        <f aca="false">K396-M396-N396</f>
        <v>320.84</v>
      </c>
      <c r="P396" s="4" t="n">
        <v>0.21</v>
      </c>
      <c r="Q396" s="3" t="n">
        <v>265.16</v>
      </c>
      <c r="R396" s="3" t="n">
        <f aca="false">O396-Q396</f>
        <v>55.68</v>
      </c>
      <c r="S396" s="3" t="n">
        <v>174</v>
      </c>
      <c r="T396" s="3" t="n">
        <f aca="false">Q396-S396</f>
        <v>91.16</v>
      </c>
      <c r="U396" s="4" t="n">
        <f aca="false">IF(Q396=0,0,T396/Q396)</f>
        <v>0.343792427213758</v>
      </c>
      <c r="V396" s="2" t="s">
        <v>126</v>
      </c>
      <c r="W396" s="2" t="s">
        <v>136</v>
      </c>
      <c r="X396" s="2" t="s">
        <v>132</v>
      </c>
    </row>
    <row r="397" customFormat="false" ht="15" hidden="false" customHeight="false" outlineLevel="0" collapsed="false">
      <c r="A397" s="5" t="n">
        <v>396</v>
      </c>
      <c r="B397" s="5" t="s">
        <v>428</v>
      </c>
      <c r="C397" s="13" t="n">
        <v>46108</v>
      </c>
      <c r="D397" s="5" t="s">
        <v>158</v>
      </c>
      <c r="E397" s="5" t="s">
        <v>34</v>
      </c>
      <c r="F397" s="5" t="s">
        <v>35</v>
      </c>
      <c r="G397" s="5" t="s">
        <v>30</v>
      </c>
      <c r="H397" s="5" t="s">
        <v>23</v>
      </c>
      <c r="I397" s="11" t="n">
        <v>1</v>
      </c>
      <c r="J397" s="6" t="n">
        <v>44.9</v>
      </c>
      <c r="K397" s="6" t="n">
        <v>44.9</v>
      </c>
      <c r="L397" s="7" t="n">
        <v>0</v>
      </c>
      <c r="M397" s="6" t="n">
        <v>0</v>
      </c>
      <c r="N397" s="6" t="n">
        <v>0</v>
      </c>
      <c r="O397" s="6" t="n">
        <f aca="false">K397-M397-N397</f>
        <v>44.9</v>
      </c>
      <c r="P397" s="7" t="n">
        <v>0.21</v>
      </c>
      <c r="Q397" s="6" t="n">
        <v>37.11</v>
      </c>
      <c r="R397" s="6" t="n">
        <f aca="false">O397-Q397</f>
        <v>7.79</v>
      </c>
      <c r="S397" s="6" t="n">
        <v>19</v>
      </c>
      <c r="T397" s="6" t="n">
        <f aca="false">Q397-S397</f>
        <v>18.11</v>
      </c>
      <c r="U397" s="7" t="n">
        <f aca="false">IF(Q397=0,0,T397/Q397)</f>
        <v>0.488008623012665</v>
      </c>
      <c r="V397" s="5" t="s">
        <v>126</v>
      </c>
      <c r="W397" s="5" t="s">
        <v>154</v>
      </c>
      <c r="X397" s="5" t="s">
        <v>132</v>
      </c>
    </row>
    <row r="398" customFormat="false" ht="15" hidden="false" customHeight="false" outlineLevel="0" collapsed="false">
      <c r="A398" s="2" t="n">
        <v>397</v>
      </c>
      <c r="B398" s="2" t="s">
        <v>428</v>
      </c>
      <c r="C398" s="12" t="n">
        <v>46108</v>
      </c>
      <c r="D398" s="2" t="s">
        <v>158</v>
      </c>
      <c r="E398" s="2" t="s">
        <v>49</v>
      </c>
      <c r="F398" s="2" t="s">
        <v>50</v>
      </c>
      <c r="G398" s="2" t="s">
        <v>51</v>
      </c>
      <c r="H398" s="2" t="s">
        <v>52</v>
      </c>
      <c r="I398" s="9" t="n">
        <v>3</v>
      </c>
      <c r="J398" s="3" t="n">
        <v>19.9</v>
      </c>
      <c r="K398" s="3" t="n">
        <v>59.7</v>
      </c>
      <c r="L398" s="4" t="n">
        <v>0.05</v>
      </c>
      <c r="M398" s="3" t="n">
        <v>2.98</v>
      </c>
      <c r="N398" s="3" t="n">
        <v>0</v>
      </c>
      <c r="O398" s="3" t="n">
        <f aca="false">K398-M398-N398</f>
        <v>56.72</v>
      </c>
      <c r="P398" s="4" t="n">
        <v>0.21</v>
      </c>
      <c r="Q398" s="3" t="n">
        <v>46.88</v>
      </c>
      <c r="R398" s="3" t="n">
        <f aca="false">O398-Q398</f>
        <v>9.84</v>
      </c>
      <c r="S398" s="3" t="n">
        <v>23.7</v>
      </c>
      <c r="T398" s="3" t="n">
        <f aca="false">Q398-S398</f>
        <v>23.18</v>
      </c>
      <c r="U398" s="4" t="n">
        <f aca="false">IF(Q398=0,0,T398/Q398)</f>
        <v>0.494453924914676</v>
      </c>
      <c r="V398" s="2" t="s">
        <v>126</v>
      </c>
      <c r="W398" s="2" t="s">
        <v>154</v>
      </c>
      <c r="X398" s="2" t="s">
        <v>132</v>
      </c>
    </row>
    <row r="399" customFormat="false" ht="15" hidden="false" customHeight="false" outlineLevel="0" collapsed="false">
      <c r="A399" s="5" t="n">
        <v>398</v>
      </c>
      <c r="B399" s="5" t="s">
        <v>428</v>
      </c>
      <c r="C399" s="13" t="n">
        <v>46108</v>
      </c>
      <c r="D399" s="5" t="s">
        <v>158</v>
      </c>
      <c r="E399" s="5" t="s">
        <v>24</v>
      </c>
      <c r="F399" s="5" t="s">
        <v>25</v>
      </c>
      <c r="G399" s="5" t="s">
        <v>22</v>
      </c>
      <c r="H399" s="5" t="s">
        <v>23</v>
      </c>
      <c r="I399" s="11" t="n">
        <v>6</v>
      </c>
      <c r="J399" s="6" t="n">
        <v>24.9</v>
      </c>
      <c r="K399" s="6" t="n">
        <v>149.4</v>
      </c>
      <c r="L399" s="7" t="n">
        <v>0</v>
      </c>
      <c r="M399" s="6" t="n">
        <v>0</v>
      </c>
      <c r="N399" s="6" t="n">
        <v>0</v>
      </c>
      <c r="O399" s="6" t="n">
        <f aca="false">K399-M399-N399</f>
        <v>149.4</v>
      </c>
      <c r="P399" s="7" t="n">
        <v>0.21</v>
      </c>
      <c r="Q399" s="6" t="n">
        <v>123.47</v>
      </c>
      <c r="R399" s="6" t="n">
        <f aca="false">O399-Q399</f>
        <v>25.93</v>
      </c>
      <c r="S399" s="6" t="n">
        <v>58.8</v>
      </c>
      <c r="T399" s="6" t="n">
        <f aca="false">Q399-S399</f>
        <v>64.67</v>
      </c>
      <c r="U399" s="7" t="n">
        <f aca="false">IF(Q399=0,0,T399/Q399)</f>
        <v>0.523770956507654</v>
      </c>
      <c r="V399" s="5" t="s">
        <v>126</v>
      </c>
      <c r="W399" s="5" t="s">
        <v>154</v>
      </c>
      <c r="X399" s="5" t="s">
        <v>132</v>
      </c>
    </row>
    <row r="400" customFormat="false" ht="15" hidden="false" customHeight="false" outlineLevel="0" collapsed="false">
      <c r="A400" s="2" t="n">
        <v>399</v>
      </c>
      <c r="B400" s="2" t="s">
        <v>429</v>
      </c>
      <c r="C400" s="12" t="n">
        <v>46108</v>
      </c>
      <c r="D400" s="2" t="s">
        <v>149</v>
      </c>
      <c r="E400" s="2" t="s">
        <v>42</v>
      </c>
      <c r="F400" s="2" t="s">
        <v>43</v>
      </c>
      <c r="G400" s="2" t="s">
        <v>44</v>
      </c>
      <c r="H400" s="2" t="s">
        <v>39</v>
      </c>
      <c r="I400" s="9" t="n">
        <v>2</v>
      </c>
      <c r="J400" s="3" t="n">
        <v>24.9</v>
      </c>
      <c r="K400" s="3" t="n">
        <v>49.8</v>
      </c>
      <c r="L400" s="4" t="n">
        <v>0</v>
      </c>
      <c r="M400" s="3" t="n">
        <v>0</v>
      </c>
      <c r="N400" s="3" t="n">
        <v>0</v>
      </c>
      <c r="O400" s="3" t="n">
        <f aca="false">K400-M400-N400</f>
        <v>49.8</v>
      </c>
      <c r="P400" s="4" t="n">
        <v>0.21</v>
      </c>
      <c r="Q400" s="3" t="n">
        <v>41.16</v>
      </c>
      <c r="R400" s="3" t="n">
        <f aca="false">O400-Q400</f>
        <v>8.64</v>
      </c>
      <c r="S400" s="3" t="n">
        <v>17</v>
      </c>
      <c r="T400" s="3" t="n">
        <f aca="false">Q400-S400</f>
        <v>24.16</v>
      </c>
      <c r="U400" s="4" t="n">
        <f aca="false">IF(Q400=0,0,T400/Q400)</f>
        <v>0.586977648202138</v>
      </c>
      <c r="V400" s="2" t="s">
        <v>148</v>
      </c>
      <c r="W400" s="2" t="s">
        <v>177</v>
      </c>
      <c r="X400" s="2" t="s">
        <v>132</v>
      </c>
    </row>
    <row r="401" customFormat="false" ht="15" hidden="false" customHeight="false" outlineLevel="0" collapsed="false">
      <c r="A401" s="5" t="n">
        <v>400</v>
      </c>
      <c r="B401" s="5" t="s">
        <v>430</v>
      </c>
      <c r="C401" s="13" t="n">
        <v>46109</v>
      </c>
      <c r="D401" s="5" t="s">
        <v>139</v>
      </c>
      <c r="E401" s="5" t="s">
        <v>24</v>
      </c>
      <c r="F401" s="5" t="s">
        <v>25</v>
      </c>
      <c r="G401" s="5" t="s">
        <v>22</v>
      </c>
      <c r="H401" s="5" t="s">
        <v>23</v>
      </c>
      <c r="I401" s="11" t="n">
        <v>2</v>
      </c>
      <c r="J401" s="6" t="n">
        <v>24.9</v>
      </c>
      <c r="K401" s="6" t="n">
        <v>49.8</v>
      </c>
      <c r="L401" s="7" t="n">
        <v>0</v>
      </c>
      <c r="M401" s="6" t="n">
        <v>0</v>
      </c>
      <c r="N401" s="6" t="n">
        <v>0</v>
      </c>
      <c r="O401" s="6" t="n">
        <f aca="false">K401-M401-N401</f>
        <v>49.8</v>
      </c>
      <c r="P401" s="7" t="n">
        <v>0.21</v>
      </c>
      <c r="Q401" s="6" t="n">
        <v>41.16</v>
      </c>
      <c r="R401" s="6" t="n">
        <f aca="false">O401-Q401</f>
        <v>8.64</v>
      </c>
      <c r="S401" s="6" t="n">
        <v>19.6</v>
      </c>
      <c r="T401" s="6" t="n">
        <f aca="false">Q401-S401</f>
        <v>21.56</v>
      </c>
      <c r="U401" s="7" t="n">
        <f aca="false">IF(Q401=0,0,T401/Q401)</f>
        <v>0.523809523809524</v>
      </c>
      <c r="V401" s="5" t="s">
        <v>126</v>
      </c>
      <c r="W401" s="5" t="s">
        <v>154</v>
      </c>
      <c r="X401" s="5" t="s">
        <v>132</v>
      </c>
    </row>
    <row r="402" customFormat="false" ht="15" hidden="false" customHeight="false" outlineLevel="0" collapsed="false">
      <c r="A402" s="2" t="n">
        <v>401</v>
      </c>
      <c r="B402" s="2" t="s">
        <v>430</v>
      </c>
      <c r="C402" s="12" t="n">
        <v>46109</v>
      </c>
      <c r="D402" s="2" t="s">
        <v>139</v>
      </c>
      <c r="E402" s="2" t="s">
        <v>81</v>
      </c>
      <c r="F402" s="2" t="s">
        <v>82</v>
      </c>
      <c r="G402" s="2" t="s">
        <v>79</v>
      </c>
      <c r="H402" s="2" t="s">
        <v>80</v>
      </c>
      <c r="I402" s="9" t="n">
        <v>1</v>
      </c>
      <c r="J402" s="3" t="n">
        <v>19.9</v>
      </c>
      <c r="K402" s="3" t="n">
        <v>19.9</v>
      </c>
      <c r="L402" s="4" t="n">
        <v>0</v>
      </c>
      <c r="M402" s="3" t="n">
        <v>0</v>
      </c>
      <c r="N402" s="3" t="n">
        <v>0</v>
      </c>
      <c r="O402" s="3" t="n">
        <f aca="false">K402-M402-N402</f>
        <v>19.9</v>
      </c>
      <c r="P402" s="4" t="n">
        <v>0.21</v>
      </c>
      <c r="Q402" s="3" t="n">
        <v>16.45</v>
      </c>
      <c r="R402" s="3" t="n">
        <f aca="false">O402-Q402</f>
        <v>3.45</v>
      </c>
      <c r="S402" s="3" t="n">
        <v>7</v>
      </c>
      <c r="T402" s="3" t="n">
        <f aca="false">Q402-S402</f>
        <v>9.45</v>
      </c>
      <c r="U402" s="4" t="n">
        <f aca="false">IF(Q402=0,0,T402/Q402)</f>
        <v>0.574468085106383</v>
      </c>
      <c r="V402" s="2" t="s">
        <v>126</v>
      </c>
      <c r="W402" s="2" t="s">
        <v>154</v>
      </c>
      <c r="X402" s="2" t="s">
        <v>132</v>
      </c>
    </row>
    <row r="403" customFormat="false" ht="15" hidden="false" customHeight="false" outlineLevel="0" collapsed="false">
      <c r="A403" s="5" t="n">
        <v>402</v>
      </c>
      <c r="B403" s="5" t="s">
        <v>431</v>
      </c>
      <c r="C403" s="13" t="n">
        <v>46111</v>
      </c>
      <c r="D403" s="5" t="s">
        <v>149</v>
      </c>
      <c r="E403" s="5" t="s">
        <v>63</v>
      </c>
      <c r="F403" s="5" t="s">
        <v>64</v>
      </c>
      <c r="G403" s="5" t="s">
        <v>65</v>
      </c>
      <c r="H403" s="5" t="s">
        <v>66</v>
      </c>
      <c r="I403" s="11" t="n">
        <v>2</v>
      </c>
      <c r="J403" s="6" t="n">
        <v>139</v>
      </c>
      <c r="K403" s="6" t="n">
        <v>278</v>
      </c>
      <c r="L403" s="7" t="n">
        <v>0</v>
      </c>
      <c r="M403" s="6" t="n">
        <v>0</v>
      </c>
      <c r="N403" s="6" t="n">
        <v>27.8</v>
      </c>
      <c r="O403" s="6" t="n">
        <f aca="false">K403-M403-N403</f>
        <v>250.2</v>
      </c>
      <c r="P403" s="7" t="n">
        <v>0.21</v>
      </c>
      <c r="Q403" s="6" t="n">
        <v>206.78</v>
      </c>
      <c r="R403" s="6" t="n">
        <f aca="false">O403-Q403</f>
        <v>43.42</v>
      </c>
      <c r="S403" s="6" t="n">
        <v>124</v>
      </c>
      <c r="T403" s="6" t="n">
        <f aca="false">Q403-S403</f>
        <v>82.78</v>
      </c>
      <c r="U403" s="7" t="n">
        <f aca="false">IF(Q403=0,0,T403/Q403)</f>
        <v>0.400328851919915</v>
      </c>
      <c r="V403" s="5" t="s">
        <v>126</v>
      </c>
      <c r="W403" s="5" t="s">
        <v>154</v>
      </c>
      <c r="X403" s="5" t="s">
        <v>231</v>
      </c>
    </row>
    <row r="404" customFormat="false" ht="15" hidden="false" customHeight="false" outlineLevel="0" collapsed="false">
      <c r="A404" s="2" t="n">
        <v>403</v>
      </c>
      <c r="B404" s="2" t="s">
        <v>432</v>
      </c>
      <c r="C404" s="12" t="n">
        <v>46114</v>
      </c>
      <c r="D404" s="2" t="s">
        <v>173</v>
      </c>
      <c r="E404" s="2" t="s">
        <v>53</v>
      </c>
      <c r="F404" s="2" t="s">
        <v>54</v>
      </c>
      <c r="G404" s="2" t="s">
        <v>51</v>
      </c>
      <c r="H404" s="2" t="s">
        <v>52</v>
      </c>
      <c r="I404" s="9" t="n">
        <v>1</v>
      </c>
      <c r="J404" s="3" t="n">
        <v>59.9</v>
      </c>
      <c r="K404" s="3" t="n">
        <v>59.9</v>
      </c>
      <c r="L404" s="4" t="n">
        <v>0.05</v>
      </c>
      <c r="M404" s="3" t="n">
        <v>3</v>
      </c>
      <c r="N404" s="3" t="n">
        <v>0</v>
      </c>
      <c r="O404" s="3" t="n">
        <f aca="false">K404-M404-N404</f>
        <v>56.9</v>
      </c>
      <c r="P404" s="4" t="n">
        <v>0.21</v>
      </c>
      <c r="Q404" s="3" t="n">
        <v>47.02</v>
      </c>
      <c r="R404" s="3" t="n">
        <f aca="false">O404-Q404</f>
        <v>9.88</v>
      </c>
      <c r="S404" s="3" t="n">
        <v>26</v>
      </c>
      <c r="T404" s="3" t="n">
        <f aca="false">Q404-S404</f>
        <v>21.02</v>
      </c>
      <c r="U404" s="4" t="n">
        <f aca="false">IF(Q404=0,0,T404/Q404)</f>
        <v>0.447043811144194</v>
      </c>
      <c r="V404" s="2" t="s">
        <v>138</v>
      </c>
      <c r="W404" s="2" t="s">
        <v>136</v>
      </c>
      <c r="X404" s="2" t="s">
        <v>132</v>
      </c>
    </row>
    <row r="405" customFormat="false" ht="15" hidden="false" customHeight="false" outlineLevel="0" collapsed="false">
      <c r="A405" s="5" t="n">
        <v>404</v>
      </c>
      <c r="B405" s="5" t="s">
        <v>432</v>
      </c>
      <c r="C405" s="13" t="n">
        <v>46114</v>
      </c>
      <c r="D405" s="5" t="s">
        <v>173</v>
      </c>
      <c r="E405" s="5" t="s">
        <v>96</v>
      </c>
      <c r="F405" s="5" t="s">
        <v>97</v>
      </c>
      <c r="G405" s="5" t="s">
        <v>94</v>
      </c>
      <c r="H405" s="5" t="s">
        <v>95</v>
      </c>
      <c r="I405" s="11" t="n">
        <v>2</v>
      </c>
      <c r="J405" s="6" t="n">
        <v>7.99</v>
      </c>
      <c r="K405" s="6" t="n">
        <v>15.98</v>
      </c>
      <c r="L405" s="7" t="n">
        <v>0</v>
      </c>
      <c r="M405" s="6" t="n">
        <v>0</v>
      </c>
      <c r="N405" s="6" t="n">
        <v>0</v>
      </c>
      <c r="O405" s="6" t="n">
        <f aca="false">K405-M405-N405</f>
        <v>15.98</v>
      </c>
      <c r="P405" s="7" t="n">
        <v>0.1</v>
      </c>
      <c r="Q405" s="6" t="n">
        <v>14.53</v>
      </c>
      <c r="R405" s="6" t="n">
        <f aca="false">O405-Q405</f>
        <v>1.45</v>
      </c>
      <c r="S405" s="6" t="n">
        <v>6.8</v>
      </c>
      <c r="T405" s="6" t="n">
        <f aca="false">Q405-S405</f>
        <v>7.73</v>
      </c>
      <c r="U405" s="7" t="n">
        <f aca="false">IF(Q405=0,0,T405/Q405)</f>
        <v>0.532002752924983</v>
      </c>
      <c r="V405" s="5" t="s">
        <v>138</v>
      </c>
      <c r="W405" s="5" t="s">
        <v>136</v>
      </c>
      <c r="X405" s="5" t="s">
        <v>132</v>
      </c>
    </row>
    <row r="406" customFormat="false" ht="15" hidden="false" customHeight="false" outlineLevel="0" collapsed="false">
      <c r="A406" s="2" t="n">
        <v>405</v>
      </c>
      <c r="B406" s="2" t="s">
        <v>432</v>
      </c>
      <c r="C406" s="12" t="n">
        <v>46114</v>
      </c>
      <c r="D406" s="2" t="s">
        <v>173</v>
      </c>
      <c r="E406" s="2" t="s">
        <v>26</v>
      </c>
      <c r="F406" s="2" t="s">
        <v>27</v>
      </c>
      <c r="G406" s="2" t="s">
        <v>22</v>
      </c>
      <c r="H406" s="2" t="s">
        <v>23</v>
      </c>
      <c r="I406" s="9" t="n">
        <v>1</v>
      </c>
      <c r="J406" s="3" t="n">
        <v>79.9</v>
      </c>
      <c r="K406" s="3" t="n">
        <v>79.9</v>
      </c>
      <c r="L406" s="4" t="n">
        <v>0</v>
      </c>
      <c r="M406" s="3" t="n">
        <v>0</v>
      </c>
      <c r="N406" s="3" t="n">
        <v>0</v>
      </c>
      <c r="O406" s="3" t="n">
        <f aca="false">K406-M406-N406</f>
        <v>79.9</v>
      </c>
      <c r="P406" s="4" t="n">
        <v>0.21</v>
      </c>
      <c r="Q406" s="3" t="n">
        <v>66.03</v>
      </c>
      <c r="R406" s="3" t="n">
        <f aca="false">O406-Q406</f>
        <v>13.87</v>
      </c>
      <c r="S406" s="3" t="n">
        <v>34</v>
      </c>
      <c r="T406" s="3" t="n">
        <f aca="false">Q406-S406</f>
        <v>32.03</v>
      </c>
      <c r="U406" s="4" t="n">
        <f aca="false">IF(Q406=0,0,T406/Q406)</f>
        <v>0.485082538240194</v>
      </c>
      <c r="V406" s="2" t="s">
        <v>138</v>
      </c>
      <c r="W406" s="2" t="s">
        <v>136</v>
      </c>
      <c r="X406" s="2" t="s">
        <v>132</v>
      </c>
    </row>
    <row r="407" customFormat="false" ht="15" hidden="false" customHeight="false" outlineLevel="0" collapsed="false">
      <c r="A407" s="5" t="n">
        <v>406</v>
      </c>
      <c r="B407" s="5" t="s">
        <v>432</v>
      </c>
      <c r="C407" s="13" t="n">
        <v>46114</v>
      </c>
      <c r="D407" s="5" t="s">
        <v>173</v>
      </c>
      <c r="E407" s="5" t="s">
        <v>18</v>
      </c>
      <c r="F407" s="5" t="s">
        <v>19</v>
      </c>
      <c r="G407" s="5" t="s">
        <v>13</v>
      </c>
      <c r="H407" s="5" t="s">
        <v>14</v>
      </c>
      <c r="I407" s="11" t="n">
        <v>1</v>
      </c>
      <c r="J407" s="6" t="n">
        <v>199</v>
      </c>
      <c r="K407" s="6" t="n">
        <v>199</v>
      </c>
      <c r="L407" s="7" t="n">
        <v>0.15</v>
      </c>
      <c r="M407" s="6" t="n">
        <v>29.85</v>
      </c>
      <c r="N407" s="6" t="n">
        <v>0</v>
      </c>
      <c r="O407" s="6" t="n">
        <f aca="false">K407-M407-N407</f>
        <v>169.15</v>
      </c>
      <c r="P407" s="7" t="n">
        <v>0.21</v>
      </c>
      <c r="Q407" s="6" t="n">
        <v>139.79</v>
      </c>
      <c r="R407" s="6" t="n">
        <f aca="false">O407-Q407</f>
        <v>29.36</v>
      </c>
      <c r="S407" s="6" t="n">
        <v>95</v>
      </c>
      <c r="T407" s="6" t="n">
        <f aca="false">Q407-S407</f>
        <v>44.79</v>
      </c>
      <c r="U407" s="7" t="n">
        <f aca="false">IF(Q407=0,0,T407/Q407)</f>
        <v>0.320409185206381</v>
      </c>
      <c r="V407" s="5" t="s">
        <v>138</v>
      </c>
      <c r="W407" s="5" t="s">
        <v>136</v>
      </c>
      <c r="X407" s="5" t="s">
        <v>132</v>
      </c>
    </row>
    <row r="408" customFormat="false" ht="15" hidden="false" customHeight="false" outlineLevel="0" collapsed="false">
      <c r="A408" s="2" t="n">
        <v>407</v>
      </c>
      <c r="B408" s="2" t="s">
        <v>433</v>
      </c>
      <c r="C408" s="12" t="n">
        <v>46115</v>
      </c>
      <c r="D408" s="2" t="s">
        <v>139</v>
      </c>
      <c r="E408" s="2" t="s">
        <v>49</v>
      </c>
      <c r="F408" s="2" t="s">
        <v>50</v>
      </c>
      <c r="G408" s="2" t="s">
        <v>51</v>
      </c>
      <c r="H408" s="2" t="s">
        <v>52</v>
      </c>
      <c r="I408" s="9" t="n">
        <v>1</v>
      </c>
      <c r="J408" s="3" t="n">
        <v>19.9</v>
      </c>
      <c r="K408" s="3" t="n">
        <v>19.9</v>
      </c>
      <c r="L408" s="4" t="n">
        <v>0.1</v>
      </c>
      <c r="M408" s="3" t="n">
        <v>1.99</v>
      </c>
      <c r="N408" s="3" t="n">
        <v>0</v>
      </c>
      <c r="O408" s="3" t="n">
        <f aca="false">K408-M408-N408</f>
        <v>17.91</v>
      </c>
      <c r="P408" s="4" t="n">
        <v>0.21</v>
      </c>
      <c r="Q408" s="3" t="n">
        <v>14.8</v>
      </c>
      <c r="R408" s="3" t="n">
        <f aca="false">O408-Q408</f>
        <v>3.11</v>
      </c>
      <c r="S408" s="3" t="n">
        <v>7.9</v>
      </c>
      <c r="T408" s="3" t="n">
        <f aca="false">Q408-S408</f>
        <v>6.9</v>
      </c>
      <c r="U408" s="4" t="n">
        <f aca="false">IF(Q408=0,0,T408/Q408)</f>
        <v>0.466216216216216</v>
      </c>
      <c r="V408" s="2" t="s">
        <v>126</v>
      </c>
      <c r="W408" s="2" t="s">
        <v>177</v>
      </c>
      <c r="X408" s="2" t="s">
        <v>185</v>
      </c>
    </row>
    <row r="409" customFormat="false" ht="15" hidden="false" customHeight="false" outlineLevel="0" collapsed="false">
      <c r="A409" s="5" t="n">
        <v>408</v>
      </c>
      <c r="B409" s="5" t="s">
        <v>433</v>
      </c>
      <c r="C409" s="13" t="n">
        <v>46115</v>
      </c>
      <c r="D409" s="5" t="s">
        <v>139</v>
      </c>
      <c r="E409" s="5" t="s">
        <v>67</v>
      </c>
      <c r="F409" s="5" t="s">
        <v>68</v>
      </c>
      <c r="G409" s="5" t="s">
        <v>65</v>
      </c>
      <c r="H409" s="5" t="s">
        <v>66</v>
      </c>
      <c r="I409" s="11" t="n">
        <v>1</v>
      </c>
      <c r="J409" s="6" t="n">
        <v>64.9</v>
      </c>
      <c r="K409" s="6" t="n">
        <v>64.9</v>
      </c>
      <c r="L409" s="7" t="n">
        <v>0.1</v>
      </c>
      <c r="M409" s="6" t="n">
        <v>6.49</v>
      </c>
      <c r="N409" s="6" t="n">
        <v>0</v>
      </c>
      <c r="O409" s="6" t="n">
        <f aca="false">K409-M409-N409</f>
        <v>58.41</v>
      </c>
      <c r="P409" s="7" t="n">
        <v>0.21</v>
      </c>
      <c r="Q409" s="6" t="n">
        <v>48.27</v>
      </c>
      <c r="R409" s="6" t="n">
        <f aca="false">O409-Q409</f>
        <v>10.14</v>
      </c>
      <c r="S409" s="6" t="n">
        <v>28</v>
      </c>
      <c r="T409" s="6" t="n">
        <f aca="false">Q409-S409</f>
        <v>20.27</v>
      </c>
      <c r="U409" s="7" t="n">
        <f aca="false">IF(Q409=0,0,T409/Q409)</f>
        <v>0.419929562875492</v>
      </c>
      <c r="V409" s="5" t="s">
        <v>126</v>
      </c>
      <c r="W409" s="5" t="s">
        <v>177</v>
      </c>
      <c r="X409" s="5" t="s">
        <v>185</v>
      </c>
    </row>
    <row r="410" customFormat="false" ht="15" hidden="false" customHeight="false" outlineLevel="0" collapsed="false">
      <c r="A410" s="2" t="n">
        <v>409</v>
      </c>
      <c r="B410" s="2" t="s">
        <v>433</v>
      </c>
      <c r="C410" s="12" t="n">
        <v>46115</v>
      </c>
      <c r="D410" s="2" t="s">
        <v>139</v>
      </c>
      <c r="E410" s="2" t="s">
        <v>98</v>
      </c>
      <c r="F410" s="2" t="s">
        <v>99</v>
      </c>
      <c r="G410" s="2" t="s">
        <v>94</v>
      </c>
      <c r="H410" s="2" t="s">
        <v>95</v>
      </c>
      <c r="I410" s="9" t="n">
        <v>2</v>
      </c>
      <c r="J410" s="3" t="n">
        <v>2.99</v>
      </c>
      <c r="K410" s="3" t="n">
        <v>5.98</v>
      </c>
      <c r="L410" s="4" t="n">
        <v>0.05</v>
      </c>
      <c r="M410" s="3" t="n">
        <v>0.3</v>
      </c>
      <c r="N410" s="3" t="n">
        <v>0</v>
      </c>
      <c r="O410" s="3" t="n">
        <f aca="false">K410-M410-N410</f>
        <v>5.68</v>
      </c>
      <c r="P410" s="4" t="n">
        <v>0.1</v>
      </c>
      <c r="Q410" s="3" t="n">
        <v>5.16</v>
      </c>
      <c r="R410" s="3" t="n">
        <f aca="false">O410-Q410</f>
        <v>0.520000000000001</v>
      </c>
      <c r="S410" s="3" t="n">
        <v>2.4</v>
      </c>
      <c r="T410" s="3" t="n">
        <f aca="false">Q410-S410</f>
        <v>2.76</v>
      </c>
      <c r="U410" s="4" t="n">
        <f aca="false">IF(Q410=0,0,T410/Q410)</f>
        <v>0.534883720930233</v>
      </c>
      <c r="V410" s="2" t="s">
        <v>126</v>
      </c>
      <c r="W410" s="2" t="s">
        <v>177</v>
      </c>
      <c r="X410" s="2" t="s">
        <v>185</v>
      </c>
    </row>
    <row r="411" customFormat="false" ht="15" hidden="false" customHeight="false" outlineLevel="0" collapsed="false">
      <c r="A411" s="5" t="n">
        <v>410</v>
      </c>
      <c r="B411" s="5" t="s">
        <v>434</v>
      </c>
      <c r="C411" s="13" t="n">
        <v>46116</v>
      </c>
      <c r="D411" s="5" t="s">
        <v>164</v>
      </c>
      <c r="E411" s="5" t="s">
        <v>69</v>
      </c>
      <c r="F411" s="5" t="s">
        <v>70</v>
      </c>
      <c r="G411" s="5" t="s">
        <v>71</v>
      </c>
      <c r="H411" s="5" t="s">
        <v>72</v>
      </c>
      <c r="I411" s="11" t="n">
        <v>2</v>
      </c>
      <c r="J411" s="6" t="n">
        <v>22.9</v>
      </c>
      <c r="K411" s="6" t="n">
        <v>45.8</v>
      </c>
      <c r="L411" s="7" t="n">
        <v>0.1</v>
      </c>
      <c r="M411" s="6" t="n">
        <v>4.58</v>
      </c>
      <c r="N411" s="6" t="n">
        <v>4.12</v>
      </c>
      <c r="O411" s="6" t="n">
        <f aca="false">K411-M411-N411</f>
        <v>37.1</v>
      </c>
      <c r="P411" s="7" t="n">
        <v>0.21</v>
      </c>
      <c r="Q411" s="6" t="n">
        <v>30.66</v>
      </c>
      <c r="R411" s="6" t="n">
        <f aca="false">O411-Q411</f>
        <v>6.44</v>
      </c>
      <c r="S411" s="6" t="n">
        <v>16</v>
      </c>
      <c r="T411" s="6" t="n">
        <f aca="false">Q411-S411</f>
        <v>14.66</v>
      </c>
      <c r="U411" s="7" t="n">
        <f aca="false">IF(Q411=0,0,T411/Q411)</f>
        <v>0.478147423352903</v>
      </c>
      <c r="V411" s="5" t="s">
        <v>138</v>
      </c>
      <c r="W411" s="5" t="s">
        <v>136</v>
      </c>
      <c r="X411" s="5" t="s">
        <v>132</v>
      </c>
    </row>
    <row r="412" customFormat="false" ht="15" hidden="false" customHeight="false" outlineLevel="0" collapsed="false">
      <c r="A412" s="2" t="n">
        <v>411</v>
      </c>
      <c r="B412" s="2" t="s">
        <v>434</v>
      </c>
      <c r="C412" s="12" t="n">
        <v>46116</v>
      </c>
      <c r="D412" s="2" t="s">
        <v>164</v>
      </c>
      <c r="E412" s="2" t="s">
        <v>18</v>
      </c>
      <c r="F412" s="2" t="s">
        <v>19</v>
      </c>
      <c r="G412" s="2" t="s">
        <v>13</v>
      </c>
      <c r="H412" s="2" t="s">
        <v>14</v>
      </c>
      <c r="I412" s="9" t="n">
        <v>2</v>
      </c>
      <c r="J412" s="3" t="n">
        <v>199</v>
      </c>
      <c r="K412" s="3" t="n">
        <v>398</v>
      </c>
      <c r="L412" s="4" t="n">
        <v>0</v>
      </c>
      <c r="M412" s="3" t="n">
        <v>0</v>
      </c>
      <c r="N412" s="3" t="n">
        <v>39.8</v>
      </c>
      <c r="O412" s="3" t="n">
        <f aca="false">K412-M412-N412</f>
        <v>358.2</v>
      </c>
      <c r="P412" s="4" t="n">
        <v>0.21</v>
      </c>
      <c r="Q412" s="3" t="n">
        <v>296.03</v>
      </c>
      <c r="R412" s="3" t="n">
        <f aca="false">O412-Q412</f>
        <v>62.17</v>
      </c>
      <c r="S412" s="3" t="n">
        <v>190</v>
      </c>
      <c r="T412" s="3" t="n">
        <f aca="false">Q412-S412</f>
        <v>106.03</v>
      </c>
      <c r="U412" s="4" t="n">
        <f aca="false">IF(Q412=0,0,T412/Q412)</f>
        <v>0.358173158125866</v>
      </c>
      <c r="V412" s="2" t="s">
        <v>138</v>
      </c>
      <c r="W412" s="2" t="s">
        <v>136</v>
      </c>
      <c r="X412" s="2" t="s">
        <v>132</v>
      </c>
    </row>
    <row r="413" customFormat="false" ht="15" hidden="false" customHeight="false" outlineLevel="0" collapsed="false">
      <c r="A413" s="5" t="n">
        <v>412</v>
      </c>
      <c r="B413" s="5" t="s">
        <v>435</v>
      </c>
      <c r="C413" s="13" t="n">
        <v>46116</v>
      </c>
      <c r="D413" s="5" t="s">
        <v>217</v>
      </c>
      <c r="E413" s="5" t="s">
        <v>98</v>
      </c>
      <c r="F413" s="5" t="s">
        <v>99</v>
      </c>
      <c r="G413" s="5" t="s">
        <v>94</v>
      </c>
      <c r="H413" s="5" t="s">
        <v>95</v>
      </c>
      <c r="I413" s="11" t="n">
        <v>8</v>
      </c>
      <c r="J413" s="6" t="n">
        <v>2.99</v>
      </c>
      <c r="K413" s="6" t="n">
        <v>23.92</v>
      </c>
      <c r="L413" s="7" t="n">
        <v>0</v>
      </c>
      <c r="M413" s="6" t="n">
        <v>0</v>
      </c>
      <c r="N413" s="6" t="n">
        <v>2.39</v>
      </c>
      <c r="O413" s="6" t="n">
        <f aca="false">K413-M413-N413</f>
        <v>21.53</v>
      </c>
      <c r="P413" s="7" t="n">
        <v>0.1</v>
      </c>
      <c r="Q413" s="6" t="n">
        <v>19.57</v>
      </c>
      <c r="R413" s="6" t="n">
        <f aca="false">O413-Q413</f>
        <v>1.96</v>
      </c>
      <c r="S413" s="6" t="n">
        <v>9.6</v>
      </c>
      <c r="T413" s="6" t="n">
        <f aca="false">Q413-S413</f>
        <v>9.97</v>
      </c>
      <c r="U413" s="7" t="n">
        <f aca="false">IF(Q413=0,0,T413/Q413)</f>
        <v>0.509453244762391</v>
      </c>
      <c r="V413" s="5" t="s">
        <v>193</v>
      </c>
      <c r="W413" s="5" t="s">
        <v>154</v>
      </c>
      <c r="X413" s="5" t="s">
        <v>132</v>
      </c>
    </row>
    <row r="414" customFormat="false" ht="15" hidden="false" customHeight="false" outlineLevel="0" collapsed="false">
      <c r="A414" s="2" t="n">
        <v>413</v>
      </c>
      <c r="B414" s="2" t="s">
        <v>435</v>
      </c>
      <c r="C414" s="12" t="n">
        <v>46116</v>
      </c>
      <c r="D414" s="2" t="s">
        <v>217</v>
      </c>
      <c r="E414" s="2" t="s">
        <v>31</v>
      </c>
      <c r="F414" s="2" t="s">
        <v>32</v>
      </c>
      <c r="G414" s="2" t="s">
        <v>33</v>
      </c>
      <c r="H414" s="2" t="s">
        <v>23</v>
      </c>
      <c r="I414" s="9" t="n">
        <v>1</v>
      </c>
      <c r="J414" s="3" t="n">
        <v>89.9</v>
      </c>
      <c r="K414" s="3" t="n">
        <v>89.9</v>
      </c>
      <c r="L414" s="4" t="n">
        <v>0</v>
      </c>
      <c r="M414" s="3" t="n">
        <v>0</v>
      </c>
      <c r="N414" s="3" t="n">
        <v>8.99</v>
      </c>
      <c r="O414" s="3" t="n">
        <f aca="false">K414-M414-N414</f>
        <v>80.91</v>
      </c>
      <c r="P414" s="4" t="n">
        <v>0.21</v>
      </c>
      <c r="Q414" s="3" t="n">
        <v>66.87</v>
      </c>
      <c r="R414" s="3" t="n">
        <f aca="false">O414-Q414</f>
        <v>14.04</v>
      </c>
      <c r="S414" s="3" t="n">
        <v>48</v>
      </c>
      <c r="T414" s="3" t="n">
        <f aca="false">Q414-S414</f>
        <v>18.87</v>
      </c>
      <c r="U414" s="4" t="n">
        <f aca="false">IF(Q414=0,0,T414/Q414)</f>
        <v>0.282189322566173</v>
      </c>
      <c r="V414" s="2" t="s">
        <v>193</v>
      </c>
      <c r="W414" s="2" t="s">
        <v>154</v>
      </c>
      <c r="X414" s="2" t="s">
        <v>132</v>
      </c>
    </row>
    <row r="415" customFormat="false" ht="15" hidden="false" customHeight="false" outlineLevel="0" collapsed="false">
      <c r="A415" s="5" t="n">
        <v>414</v>
      </c>
      <c r="B415" s="5" t="s">
        <v>435</v>
      </c>
      <c r="C415" s="13" t="n">
        <v>46116</v>
      </c>
      <c r="D415" s="5" t="s">
        <v>217</v>
      </c>
      <c r="E415" s="5" t="s">
        <v>28</v>
      </c>
      <c r="F415" s="5" t="s">
        <v>29</v>
      </c>
      <c r="G415" s="5" t="s">
        <v>30</v>
      </c>
      <c r="H415" s="5" t="s">
        <v>23</v>
      </c>
      <c r="I415" s="11" t="n">
        <v>3</v>
      </c>
      <c r="J415" s="6" t="n">
        <v>289</v>
      </c>
      <c r="K415" s="6" t="n">
        <v>867</v>
      </c>
      <c r="L415" s="7" t="n">
        <v>0.25</v>
      </c>
      <c r="M415" s="6" t="n">
        <v>216.75</v>
      </c>
      <c r="N415" s="6" t="n">
        <v>65.03</v>
      </c>
      <c r="O415" s="6" t="n">
        <f aca="false">K415-M415-N415</f>
        <v>585.22</v>
      </c>
      <c r="P415" s="7" t="n">
        <v>0.21</v>
      </c>
      <c r="Q415" s="6" t="n">
        <v>483.65</v>
      </c>
      <c r="R415" s="6" t="n">
        <f aca="false">O415-Q415</f>
        <v>101.57</v>
      </c>
      <c r="S415" s="6" t="n">
        <v>420</v>
      </c>
      <c r="T415" s="6" t="n">
        <f aca="false">Q415-S415</f>
        <v>63.65</v>
      </c>
      <c r="U415" s="7" t="n">
        <f aca="false">IF(Q415=0,0,T415/Q415)</f>
        <v>0.131603432234054</v>
      </c>
      <c r="V415" s="5" t="s">
        <v>193</v>
      </c>
      <c r="W415" s="5" t="s">
        <v>154</v>
      </c>
      <c r="X415" s="5" t="s">
        <v>132</v>
      </c>
    </row>
    <row r="416" customFormat="false" ht="15" hidden="false" customHeight="false" outlineLevel="0" collapsed="false">
      <c r="A416" s="2" t="n">
        <v>415</v>
      </c>
      <c r="B416" s="2" t="s">
        <v>436</v>
      </c>
      <c r="C416" s="12" t="n">
        <v>46117</v>
      </c>
      <c r="D416" s="2" t="s">
        <v>223</v>
      </c>
      <c r="E416" s="2" t="s">
        <v>73</v>
      </c>
      <c r="F416" s="2" t="s">
        <v>74</v>
      </c>
      <c r="G416" s="2" t="s">
        <v>71</v>
      </c>
      <c r="H416" s="2" t="s">
        <v>72</v>
      </c>
      <c r="I416" s="9" t="n">
        <v>1</v>
      </c>
      <c r="J416" s="3" t="n">
        <v>69.9</v>
      </c>
      <c r="K416" s="3" t="n">
        <v>69.9</v>
      </c>
      <c r="L416" s="4" t="n">
        <v>0.15</v>
      </c>
      <c r="M416" s="3" t="n">
        <v>10.48</v>
      </c>
      <c r="N416" s="3" t="n">
        <v>0</v>
      </c>
      <c r="O416" s="3" t="n">
        <f aca="false">K416-M416-N416</f>
        <v>59.42</v>
      </c>
      <c r="P416" s="4" t="n">
        <v>0.21</v>
      </c>
      <c r="Q416" s="3" t="n">
        <v>49.11</v>
      </c>
      <c r="R416" s="3" t="n">
        <f aca="false">O416-Q416</f>
        <v>10.31</v>
      </c>
      <c r="S416" s="3" t="n">
        <v>29</v>
      </c>
      <c r="T416" s="3" t="n">
        <f aca="false">Q416-S416</f>
        <v>20.11</v>
      </c>
      <c r="U416" s="4" t="n">
        <f aca="false">IF(Q416=0,0,T416/Q416)</f>
        <v>0.409488902463857</v>
      </c>
      <c r="V416" s="2" t="s">
        <v>148</v>
      </c>
      <c r="W416" s="2" t="s">
        <v>156</v>
      </c>
      <c r="X416" s="2" t="s">
        <v>176</v>
      </c>
    </row>
    <row r="417" customFormat="false" ht="15" hidden="false" customHeight="false" outlineLevel="0" collapsed="false">
      <c r="A417" s="5" t="n">
        <v>416</v>
      </c>
      <c r="B417" s="5" t="s">
        <v>437</v>
      </c>
      <c r="C417" s="13" t="n">
        <v>46119</v>
      </c>
      <c r="D417" s="5" t="s">
        <v>173</v>
      </c>
      <c r="E417" s="5" t="s">
        <v>42</v>
      </c>
      <c r="F417" s="5" t="s">
        <v>43</v>
      </c>
      <c r="G417" s="5" t="s">
        <v>44</v>
      </c>
      <c r="H417" s="5" t="s">
        <v>39</v>
      </c>
      <c r="I417" s="11" t="n">
        <v>2</v>
      </c>
      <c r="J417" s="6" t="n">
        <v>24.9</v>
      </c>
      <c r="K417" s="6" t="n">
        <v>49.8</v>
      </c>
      <c r="L417" s="7" t="n">
        <v>0</v>
      </c>
      <c r="M417" s="6" t="n">
        <v>0</v>
      </c>
      <c r="N417" s="6" t="n">
        <v>0</v>
      </c>
      <c r="O417" s="6" t="n">
        <f aca="false">K417-M417-N417</f>
        <v>49.8</v>
      </c>
      <c r="P417" s="7" t="n">
        <v>0.21</v>
      </c>
      <c r="Q417" s="6" t="n">
        <v>41.16</v>
      </c>
      <c r="R417" s="6" t="n">
        <f aca="false">O417-Q417</f>
        <v>8.64</v>
      </c>
      <c r="S417" s="6" t="n">
        <v>17</v>
      </c>
      <c r="T417" s="6" t="n">
        <f aca="false">Q417-S417</f>
        <v>24.16</v>
      </c>
      <c r="U417" s="7" t="n">
        <f aca="false">IF(Q417=0,0,T417/Q417)</f>
        <v>0.586977648202138</v>
      </c>
      <c r="V417" s="5" t="s">
        <v>126</v>
      </c>
      <c r="W417" s="5" t="s">
        <v>177</v>
      </c>
      <c r="X417" s="5" t="s">
        <v>132</v>
      </c>
    </row>
    <row r="418" customFormat="false" ht="15" hidden="false" customHeight="false" outlineLevel="0" collapsed="false">
      <c r="A418" s="2" t="n">
        <v>417</v>
      </c>
      <c r="B418" s="2" t="s">
        <v>437</v>
      </c>
      <c r="C418" s="12" t="n">
        <v>46119</v>
      </c>
      <c r="D418" s="2" t="s">
        <v>173</v>
      </c>
      <c r="E418" s="2" t="s">
        <v>87</v>
      </c>
      <c r="F418" s="2" t="s">
        <v>88</v>
      </c>
      <c r="G418" s="2" t="s">
        <v>85</v>
      </c>
      <c r="H418" s="2" t="s">
        <v>86</v>
      </c>
      <c r="I418" s="9" t="n">
        <v>1</v>
      </c>
      <c r="J418" s="3" t="n">
        <v>2.49</v>
      </c>
      <c r="K418" s="3" t="n">
        <v>2.49</v>
      </c>
      <c r="L418" s="4" t="n">
        <v>0</v>
      </c>
      <c r="M418" s="3" t="n">
        <v>0</v>
      </c>
      <c r="N418" s="3" t="n">
        <v>0</v>
      </c>
      <c r="O418" s="3" t="n">
        <f aca="false">K418-M418-N418</f>
        <v>2.49</v>
      </c>
      <c r="P418" s="4" t="n">
        <v>0.1</v>
      </c>
      <c r="Q418" s="3" t="n">
        <v>2.26</v>
      </c>
      <c r="R418" s="3" t="n">
        <f aca="false">O418-Q418</f>
        <v>0.23</v>
      </c>
      <c r="S418" s="3" t="n">
        <v>1.5</v>
      </c>
      <c r="T418" s="3" t="n">
        <f aca="false">Q418-S418</f>
        <v>0.76</v>
      </c>
      <c r="U418" s="4" t="n">
        <f aca="false">IF(Q418=0,0,T418/Q418)</f>
        <v>0.336283185840708</v>
      </c>
      <c r="V418" s="2" t="s">
        <v>126</v>
      </c>
      <c r="W418" s="2" t="s">
        <v>177</v>
      </c>
      <c r="X418" s="2" t="s">
        <v>132</v>
      </c>
    </row>
    <row r="419" customFormat="false" ht="15" hidden="false" customHeight="false" outlineLevel="0" collapsed="false">
      <c r="A419" s="5" t="n">
        <v>418</v>
      </c>
      <c r="B419" s="5" t="s">
        <v>437</v>
      </c>
      <c r="C419" s="13" t="n">
        <v>46119</v>
      </c>
      <c r="D419" s="5" t="s">
        <v>173</v>
      </c>
      <c r="E419" s="5" t="s">
        <v>81</v>
      </c>
      <c r="F419" s="5" t="s">
        <v>82</v>
      </c>
      <c r="G419" s="5" t="s">
        <v>79</v>
      </c>
      <c r="H419" s="5" t="s">
        <v>80</v>
      </c>
      <c r="I419" s="11" t="n">
        <v>1</v>
      </c>
      <c r="J419" s="6" t="n">
        <v>19.9</v>
      </c>
      <c r="K419" s="6" t="n">
        <v>19.9</v>
      </c>
      <c r="L419" s="7" t="n">
        <v>0</v>
      </c>
      <c r="M419" s="6" t="n">
        <v>0</v>
      </c>
      <c r="N419" s="6" t="n">
        <v>0</v>
      </c>
      <c r="O419" s="6" t="n">
        <f aca="false">K419-M419-N419</f>
        <v>19.9</v>
      </c>
      <c r="P419" s="7" t="n">
        <v>0.21</v>
      </c>
      <c r="Q419" s="6" t="n">
        <v>16.45</v>
      </c>
      <c r="R419" s="6" t="n">
        <f aca="false">O419-Q419</f>
        <v>3.45</v>
      </c>
      <c r="S419" s="6" t="n">
        <v>7</v>
      </c>
      <c r="T419" s="6" t="n">
        <f aca="false">Q419-S419</f>
        <v>9.45</v>
      </c>
      <c r="U419" s="7" t="n">
        <f aca="false">IF(Q419=0,0,T419/Q419)</f>
        <v>0.574468085106383</v>
      </c>
      <c r="V419" s="5" t="s">
        <v>126</v>
      </c>
      <c r="W419" s="5" t="s">
        <v>177</v>
      </c>
      <c r="X419" s="5" t="s">
        <v>132</v>
      </c>
    </row>
    <row r="420" customFormat="false" ht="15" hidden="false" customHeight="false" outlineLevel="0" collapsed="false">
      <c r="A420" s="2" t="n">
        <v>419</v>
      </c>
      <c r="B420" s="2" t="s">
        <v>438</v>
      </c>
      <c r="C420" s="12" t="n">
        <v>46120</v>
      </c>
      <c r="D420" s="2" t="s">
        <v>258</v>
      </c>
      <c r="E420" s="2" t="s">
        <v>69</v>
      </c>
      <c r="F420" s="2" t="s">
        <v>70</v>
      </c>
      <c r="G420" s="2" t="s">
        <v>71</v>
      </c>
      <c r="H420" s="2" t="s">
        <v>72</v>
      </c>
      <c r="I420" s="9" t="n">
        <v>1</v>
      </c>
      <c r="J420" s="3" t="n">
        <v>22.9</v>
      </c>
      <c r="K420" s="3" t="n">
        <v>22.9</v>
      </c>
      <c r="L420" s="4" t="n">
        <v>0.05</v>
      </c>
      <c r="M420" s="3" t="n">
        <v>1.14</v>
      </c>
      <c r="N420" s="3" t="n">
        <v>0</v>
      </c>
      <c r="O420" s="3" t="n">
        <f aca="false">K420-M420-N420</f>
        <v>21.76</v>
      </c>
      <c r="P420" s="4" t="n">
        <v>0.21</v>
      </c>
      <c r="Q420" s="3" t="n">
        <v>17.98</v>
      </c>
      <c r="R420" s="3" t="n">
        <f aca="false">O420-Q420</f>
        <v>3.78</v>
      </c>
      <c r="S420" s="3" t="n">
        <v>8</v>
      </c>
      <c r="T420" s="3" t="n">
        <f aca="false">Q420-S420</f>
        <v>9.98</v>
      </c>
      <c r="U420" s="4" t="n">
        <f aca="false">IF(Q420=0,0,T420/Q420)</f>
        <v>0.555061179087875</v>
      </c>
      <c r="V420" s="2" t="s">
        <v>193</v>
      </c>
      <c r="W420" s="2" t="s">
        <v>156</v>
      </c>
      <c r="X420" s="2" t="s">
        <v>132</v>
      </c>
    </row>
    <row r="421" customFormat="false" ht="15" hidden="false" customHeight="false" outlineLevel="0" collapsed="false">
      <c r="A421" s="5" t="n">
        <v>420</v>
      </c>
      <c r="B421" s="5" t="s">
        <v>438</v>
      </c>
      <c r="C421" s="13" t="n">
        <v>46120</v>
      </c>
      <c r="D421" s="5" t="s">
        <v>258</v>
      </c>
      <c r="E421" s="5" t="s">
        <v>81</v>
      </c>
      <c r="F421" s="5" t="s">
        <v>82</v>
      </c>
      <c r="G421" s="5" t="s">
        <v>79</v>
      </c>
      <c r="H421" s="5" t="s">
        <v>80</v>
      </c>
      <c r="I421" s="11" t="n">
        <v>1</v>
      </c>
      <c r="J421" s="6" t="n">
        <v>19.9</v>
      </c>
      <c r="K421" s="6" t="n">
        <v>19.9</v>
      </c>
      <c r="L421" s="7" t="n">
        <v>0</v>
      </c>
      <c r="M421" s="6" t="n">
        <v>0</v>
      </c>
      <c r="N421" s="6" t="n">
        <v>0</v>
      </c>
      <c r="O421" s="6" t="n">
        <f aca="false">K421-M421-N421</f>
        <v>19.9</v>
      </c>
      <c r="P421" s="7" t="n">
        <v>0.21</v>
      </c>
      <c r="Q421" s="6" t="n">
        <v>16.45</v>
      </c>
      <c r="R421" s="6" t="n">
        <f aca="false">O421-Q421</f>
        <v>3.45</v>
      </c>
      <c r="S421" s="6" t="n">
        <v>7</v>
      </c>
      <c r="T421" s="6" t="n">
        <f aca="false">Q421-S421</f>
        <v>9.45</v>
      </c>
      <c r="U421" s="7" t="n">
        <f aca="false">IF(Q421=0,0,T421/Q421)</f>
        <v>0.574468085106383</v>
      </c>
      <c r="V421" s="5" t="s">
        <v>193</v>
      </c>
      <c r="W421" s="5" t="s">
        <v>156</v>
      </c>
      <c r="X421" s="5" t="s">
        <v>132</v>
      </c>
    </row>
    <row r="422" customFormat="false" ht="15" hidden="false" customHeight="false" outlineLevel="0" collapsed="false">
      <c r="A422" s="2" t="n">
        <v>421</v>
      </c>
      <c r="B422" s="2" t="s">
        <v>439</v>
      </c>
      <c r="C422" s="12" t="n">
        <v>46122</v>
      </c>
      <c r="D422" s="2" t="s">
        <v>217</v>
      </c>
      <c r="E422" s="2" t="s">
        <v>96</v>
      </c>
      <c r="F422" s="2" t="s">
        <v>97</v>
      </c>
      <c r="G422" s="2" t="s">
        <v>94</v>
      </c>
      <c r="H422" s="2" t="s">
        <v>95</v>
      </c>
      <c r="I422" s="9" t="n">
        <v>1</v>
      </c>
      <c r="J422" s="3" t="n">
        <v>7.99</v>
      </c>
      <c r="K422" s="3" t="n">
        <v>7.99</v>
      </c>
      <c r="L422" s="4" t="n">
        <v>0</v>
      </c>
      <c r="M422" s="3" t="n">
        <v>0</v>
      </c>
      <c r="N422" s="3" t="n">
        <v>1.6</v>
      </c>
      <c r="O422" s="3" t="n">
        <f aca="false">K422-M422-N422</f>
        <v>6.39</v>
      </c>
      <c r="P422" s="4" t="n">
        <v>0.1</v>
      </c>
      <c r="Q422" s="3" t="n">
        <v>5.81</v>
      </c>
      <c r="R422" s="3" t="n">
        <f aca="false">O422-Q422</f>
        <v>0.580000000000001</v>
      </c>
      <c r="S422" s="3" t="n">
        <v>3.4</v>
      </c>
      <c r="T422" s="3" t="n">
        <f aca="false">Q422-S422</f>
        <v>2.41</v>
      </c>
      <c r="U422" s="4" t="n">
        <f aca="false">IF(Q422=0,0,T422/Q422)</f>
        <v>0.414802065404475</v>
      </c>
      <c r="V422" s="2" t="s">
        <v>138</v>
      </c>
      <c r="W422" s="2" t="s">
        <v>156</v>
      </c>
      <c r="X422" s="2" t="s">
        <v>132</v>
      </c>
    </row>
    <row r="423" customFormat="false" ht="15" hidden="false" customHeight="false" outlineLevel="0" collapsed="false">
      <c r="A423" s="5" t="n">
        <v>422</v>
      </c>
      <c r="B423" s="5" t="s">
        <v>440</v>
      </c>
      <c r="C423" s="13" t="n">
        <v>46123</v>
      </c>
      <c r="D423" s="5" t="s">
        <v>202</v>
      </c>
      <c r="E423" s="5" t="s">
        <v>87</v>
      </c>
      <c r="F423" s="5" t="s">
        <v>88</v>
      </c>
      <c r="G423" s="5" t="s">
        <v>85</v>
      </c>
      <c r="H423" s="5" t="s">
        <v>86</v>
      </c>
      <c r="I423" s="11" t="n">
        <v>2</v>
      </c>
      <c r="J423" s="6" t="n">
        <v>2.49</v>
      </c>
      <c r="K423" s="6" t="n">
        <v>4.98</v>
      </c>
      <c r="L423" s="7" t="n">
        <v>0</v>
      </c>
      <c r="M423" s="6" t="n">
        <v>0</v>
      </c>
      <c r="N423" s="6" t="n">
        <v>0</v>
      </c>
      <c r="O423" s="6" t="n">
        <f aca="false">K423-M423-N423</f>
        <v>4.98</v>
      </c>
      <c r="P423" s="7" t="n">
        <v>0.1</v>
      </c>
      <c r="Q423" s="6" t="n">
        <v>4.53</v>
      </c>
      <c r="R423" s="6" t="n">
        <f aca="false">O423-Q423</f>
        <v>0.45</v>
      </c>
      <c r="S423" s="6" t="n">
        <v>3</v>
      </c>
      <c r="T423" s="6" t="n">
        <f aca="false">Q423-S423</f>
        <v>1.53</v>
      </c>
      <c r="U423" s="7" t="n">
        <f aca="false">IF(Q423=0,0,T423/Q423)</f>
        <v>0.337748344370861</v>
      </c>
      <c r="V423" s="5" t="s">
        <v>126</v>
      </c>
      <c r="W423" s="5" t="s">
        <v>177</v>
      </c>
      <c r="X423" s="5" t="s">
        <v>132</v>
      </c>
    </row>
    <row r="424" customFormat="false" ht="15" hidden="false" customHeight="false" outlineLevel="0" collapsed="false">
      <c r="A424" s="2" t="n">
        <v>423</v>
      </c>
      <c r="B424" s="2" t="s">
        <v>441</v>
      </c>
      <c r="C424" s="12" t="n">
        <v>46126</v>
      </c>
      <c r="D424" s="2" t="s">
        <v>188</v>
      </c>
      <c r="E424" s="2" t="s">
        <v>61</v>
      </c>
      <c r="F424" s="2" t="s">
        <v>62</v>
      </c>
      <c r="G424" s="2" t="s">
        <v>59</v>
      </c>
      <c r="H424" s="2" t="s">
        <v>60</v>
      </c>
      <c r="I424" s="9" t="n">
        <v>1</v>
      </c>
      <c r="J424" s="3" t="n">
        <v>18.9</v>
      </c>
      <c r="K424" s="3" t="n">
        <v>18.9</v>
      </c>
      <c r="L424" s="4" t="n">
        <v>0</v>
      </c>
      <c r="M424" s="3" t="n">
        <v>0</v>
      </c>
      <c r="N424" s="3" t="n">
        <v>0</v>
      </c>
      <c r="O424" s="3" t="n">
        <f aca="false">K424-M424-N424</f>
        <v>18.9</v>
      </c>
      <c r="P424" s="4" t="n">
        <v>0.21</v>
      </c>
      <c r="Q424" s="3" t="n">
        <v>15.62</v>
      </c>
      <c r="R424" s="3" t="n">
        <f aca="false">O424-Q424</f>
        <v>3.28</v>
      </c>
      <c r="S424" s="3" t="n">
        <v>6.5</v>
      </c>
      <c r="T424" s="3" t="n">
        <f aca="false">Q424-S424</f>
        <v>9.12</v>
      </c>
      <c r="U424" s="4" t="n">
        <f aca="false">IF(Q424=0,0,T424/Q424)</f>
        <v>0.583866837387964</v>
      </c>
      <c r="V424" s="2" t="s">
        <v>172</v>
      </c>
      <c r="W424" s="2" t="s">
        <v>177</v>
      </c>
      <c r="X424" s="2" t="s">
        <v>132</v>
      </c>
    </row>
    <row r="425" customFormat="false" ht="15" hidden="false" customHeight="false" outlineLevel="0" collapsed="false">
      <c r="A425" s="5" t="n">
        <v>424</v>
      </c>
      <c r="B425" s="5" t="s">
        <v>442</v>
      </c>
      <c r="C425" s="13" t="n">
        <v>46128</v>
      </c>
      <c r="D425" s="5" t="s">
        <v>217</v>
      </c>
      <c r="E425" s="5" t="s">
        <v>40</v>
      </c>
      <c r="F425" s="5" t="s">
        <v>41</v>
      </c>
      <c r="G425" s="5" t="s">
        <v>38</v>
      </c>
      <c r="H425" s="5" t="s">
        <v>39</v>
      </c>
      <c r="I425" s="11" t="n">
        <v>1</v>
      </c>
      <c r="J425" s="6" t="n">
        <v>12.9</v>
      </c>
      <c r="K425" s="6" t="n">
        <v>12.9</v>
      </c>
      <c r="L425" s="7" t="n">
        <v>0.05</v>
      </c>
      <c r="M425" s="6" t="n">
        <v>0.64</v>
      </c>
      <c r="N425" s="6" t="n">
        <v>1.84</v>
      </c>
      <c r="O425" s="6" t="n">
        <f aca="false">K425-M425-N425</f>
        <v>10.42</v>
      </c>
      <c r="P425" s="7" t="n">
        <v>0.21</v>
      </c>
      <c r="Q425" s="6" t="n">
        <v>8.61</v>
      </c>
      <c r="R425" s="6" t="n">
        <f aca="false">O425-Q425</f>
        <v>1.81</v>
      </c>
      <c r="S425" s="6" t="n">
        <v>2.1</v>
      </c>
      <c r="T425" s="6" t="n">
        <f aca="false">Q425-S425</f>
        <v>6.51</v>
      </c>
      <c r="U425" s="7" t="n">
        <f aca="false">IF(Q425=0,0,T425/Q425)</f>
        <v>0.75609756097561</v>
      </c>
      <c r="V425" s="5" t="s">
        <v>126</v>
      </c>
      <c r="W425" s="5" t="s">
        <v>154</v>
      </c>
      <c r="X425" s="5" t="s">
        <v>132</v>
      </c>
    </row>
    <row r="426" customFormat="false" ht="15" hidden="false" customHeight="false" outlineLevel="0" collapsed="false">
      <c r="A426" s="2" t="n">
        <v>425</v>
      </c>
      <c r="B426" s="2" t="s">
        <v>442</v>
      </c>
      <c r="C426" s="12" t="n">
        <v>46128</v>
      </c>
      <c r="D426" s="2" t="s">
        <v>217</v>
      </c>
      <c r="E426" s="2" t="s">
        <v>92</v>
      </c>
      <c r="F426" s="2" t="s">
        <v>93</v>
      </c>
      <c r="G426" s="2" t="s">
        <v>94</v>
      </c>
      <c r="H426" s="2" t="s">
        <v>95</v>
      </c>
      <c r="I426" s="9" t="n">
        <v>2</v>
      </c>
      <c r="J426" s="3" t="n">
        <v>4.49</v>
      </c>
      <c r="K426" s="3" t="n">
        <v>8.98</v>
      </c>
      <c r="L426" s="4" t="n">
        <v>0</v>
      </c>
      <c r="M426" s="3" t="n">
        <v>0</v>
      </c>
      <c r="N426" s="3" t="n">
        <v>1.35</v>
      </c>
      <c r="O426" s="3" t="n">
        <f aca="false">K426-M426-N426</f>
        <v>7.63</v>
      </c>
      <c r="P426" s="4" t="n">
        <v>0.1</v>
      </c>
      <c r="Q426" s="3" t="n">
        <v>6.94</v>
      </c>
      <c r="R426" s="3" t="n">
        <f aca="false">O426-Q426</f>
        <v>0.69</v>
      </c>
      <c r="S426" s="3" t="n">
        <v>4.2</v>
      </c>
      <c r="T426" s="3" t="n">
        <f aca="false">Q426-S426</f>
        <v>2.74</v>
      </c>
      <c r="U426" s="4" t="n">
        <f aca="false">IF(Q426=0,0,T426/Q426)</f>
        <v>0.394812680115274</v>
      </c>
      <c r="V426" s="2" t="s">
        <v>126</v>
      </c>
      <c r="W426" s="2" t="s">
        <v>154</v>
      </c>
      <c r="X426" s="2" t="s">
        <v>132</v>
      </c>
    </row>
    <row r="427" customFormat="false" ht="15" hidden="false" customHeight="false" outlineLevel="0" collapsed="false">
      <c r="A427" s="5" t="n">
        <v>426</v>
      </c>
      <c r="B427" s="5" t="s">
        <v>442</v>
      </c>
      <c r="C427" s="13" t="n">
        <v>46128</v>
      </c>
      <c r="D427" s="5" t="s">
        <v>217</v>
      </c>
      <c r="E427" s="5" t="s">
        <v>61</v>
      </c>
      <c r="F427" s="5" t="s">
        <v>62</v>
      </c>
      <c r="G427" s="5" t="s">
        <v>59</v>
      </c>
      <c r="H427" s="5" t="s">
        <v>60</v>
      </c>
      <c r="I427" s="11" t="n">
        <v>2</v>
      </c>
      <c r="J427" s="6" t="n">
        <v>18.9</v>
      </c>
      <c r="K427" s="6" t="n">
        <v>37.8</v>
      </c>
      <c r="L427" s="7" t="n">
        <v>0</v>
      </c>
      <c r="M427" s="6" t="n">
        <v>0</v>
      </c>
      <c r="N427" s="6" t="n">
        <v>5.67</v>
      </c>
      <c r="O427" s="6" t="n">
        <f aca="false">K427-M427-N427</f>
        <v>32.13</v>
      </c>
      <c r="P427" s="7" t="n">
        <v>0.21</v>
      </c>
      <c r="Q427" s="6" t="n">
        <v>26.55</v>
      </c>
      <c r="R427" s="6" t="n">
        <f aca="false">O427-Q427</f>
        <v>5.58</v>
      </c>
      <c r="S427" s="6" t="n">
        <v>13</v>
      </c>
      <c r="T427" s="6" t="n">
        <f aca="false">Q427-S427</f>
        <v>13.55</v>
      </c>
      <c r="U427" s="7" t="n">
        <f aca="false">IF(Q427=0,0,T427/Q427)</f>
        <v>0.510357815442561</v>
      </c>
      <c r="V427" s="5" t="s">
        <v>126</v>
      </c>
      <c r="W427" s="5" t="s">
        <v>154</v>
      </c>
      <c r="X427" s="5" t="s">
        <v>132</v>
      </c>
    </row>
    <row r="428" customFormat="false" ht="15" hidden="false" customHeight="false" outlineLevel="0" collapsed="false">
      <c r="A428" s="2" t="n">
        <v>427</v>
      </c>
      <c r="B428" s="2" t="s">
        <v>443</v>
      </c>
      <c r="C428" s="12" t="n">
        <v>46129</v>
      </c>
      <c r="D428" s="2" t="s">
        <v>179</v>
      </c>
      <c r="E428" s="2" t="s">
        <v>73</v>
      </c>
      <c r="F428" s="2" t="s">
        <v>74</v>
      </c>
      <c r="G428" s="2" t="s">
        <v>71</v>
      </c>
      <c r="H428" s="2" t="s">
        <v>72</v>
      </c>
      <c r="I428" s="9" t="n">
        <v>1</v>
      </c>
      <c r="J428" s="3" t="n">
        <v>69.9</v>
      </c>
      <c r="K428" s="3" t="n">
        <v>69.9</v>
      </c>
      <c r="L428" s="4" t="n">
        <v>0</v>
      </c>
      <c r="M428" s="3" t="n">
        <v>0</v>
      </c>
      <c r="N428" s="3" t="n">
        <v>0</v>
      </c>
      <c r="O428" s="3" t="n">
        <f aca="false">K428-M428-N428</f>
        <v>69.9</v>
      </c>
      <c r="P428" s="4" t="n">
        <v>0.21</v>
      </c>
      <c r="Q428" s="3" t="n">
        <v>57.77</v>
      </c>
      <c r="R428" s="3" t="n">
        <f aca="false">O428-Q428</f>
        <v>12.13</v>
      </c>
      <c r="S428" s="3" t="n">
        <v>29</v>
      </c>
      <c r="T428" s="3" t="n">
        <f aca="false">Q428-S428</f>
        <v>28.77</v>
      </c>
      <c r="U428" s="4" t="n">
        <f aca="false">IF(Q428=0,0,T428/Q428)</f>
        <v>0.498009347412152</v>
      </c>
      <c r="V428" s="2" t="s">
        <v>138</v>
      </c>
      <c r="W428" s="2" t="s">
        <v>136</v>
      </c>
      <c r="X428" s="2" t="s">
        <v>185</v>
      </c>
    </row>
    <row r="429" customFormat="false" ht="15" hidden="false" customHeight="false" outlineLevel="0" collapsed="false">
      <c r="A429" s="5" t="n">
        <v>428</v>
      </c>
      <c r="B429" s="5" t="s">
        <v>444</v>
      </c>
      <c r="C429" s="13" t="n">
        <v>46130</v>
      </c>
      <c r="D429" s="5" t="s">
        <v>217</v>
      </c>
      <c r="E429" s="5" t="s">
        <v>63</v>
      </c>
      <c r="F429" s="5" t="s">
        <v>64</v>
      </c>
      <c r="G429" s="5" t="s">
        <v>65</v>
      </c>
      <c r="H429" s="5" t="s">
        <v>66</v>
      </c>
      <c r="I429" s="11" t="n">
        <v>1</v>
      </c>
      <c r="J429" s="6" t="n">
        <v>139</v>
      </c>
      <c r="K429" s="6" t="n">
        <v>139</v>
      </c>
      <c r="L429" s="7" t="n">
        <v>0</v>
      </c>
      <c r="M429" s="6" t="n">
        <v>0</v>
      </c>
      <c r="N429" s="6" t="n">
        <v>0</v>
      </c>
      <c r="O429" s="6" t="n">
        <f aca="false">K429-M429-N429</f>
        <v>139</v>
      </c>
      <c r="P429" s="7" t="n">
        <v>0.21</v>
      </c>
      <c r="Q429" s="6" t="n">
        <v>114.88</v>
      </c>
      <c r="R429" s="6" t="n">
        <f aca="false">O429-Q429</f>
        <v>24.12</v>
      </c>
      <c r="S429" s="6" t="n">
        <v>62</v>
      </c>
      <c r="T429" s="6" t="n">
        <f aca="false">Q429-S429</f>
        <v>52.88</v>
      </c>
      <c r="U429" s="7" t="n">
        <f aca="false">IF(Q429=0,0,T429/Q429)</f>
        <v>0.460306406685237</v>
      </c>
      <c r="V429" s="5" t="s">
        <v>126</v>
      </c>
      <c r="W429" s="5" t="s">
        <v>136</v>
      </c>
      <c r="X429" s="5" t="s">
        <v>132</v>
      </c>
    </row>
    <row r="430" customFormat="false" ht="15" hidden="false" customHeight="false" outlineLevel="0" collapsed="false">
      <c r="A430" s="2" t="n">
        <v>429</v>
      </c>
      <c r="B430" s="2" t="s">
        <v>444</v>
      </c>
      <c r="C430" s="12" t="n">
        <v>46130</v>
      </c>
      <c r="D430" s="2" t="s">
        <v>217</v>
      </c>
      <c r="E430" s="2" t="s">
        <v>24</v>
      </c>
      <c r="F430" s="2" t="s">
        <v>25</v>
      </c>
      <c r="G430" s="2" t="s">
        <v>22</v>
      </c>
      <c r="H430" s="2" t="s">
        <v>23</v>
      </c>
      <c r="I430" s="9" t="n">
        <v>2</v>
      </c>
      <c r="J430" s="3" t="n">
        <v>24.9</v>
      </c>
      <c r="K430" s="3" t="n">
        <v>49.8</v>
      </c>
      <c r="L430" s="4" t="n">
        <v>0.05</v>
      </c>
      <c r="M430" s="3" t="n">
        <v>2.49</v>
      </c>
      <c r="N430" s="3" t="n">
        <v>0</v>
      </c>
      <c r="O430" s="3" t="n">
        <f aca="false">K430-M430-N430</f>
        <v>47.31</v>
      </c>
      <c r="P430" s="4" t="n">
        <v>0.21</v>
      </c>
      <c r="Q430" s="3" t="n">
        <v>39.1</v>
      </c>
      <c r="R430" s="3" t="n">
        <f aca="false">O430-Q430</f>
        <v>8.20999999999999</v>
      </c>
      <c r="S430" s="3" t="n">
        <v>19.6</v>
      </c>
      <c r="T430" s="3" t="n">
        <f aca="false">Q430-S430</f>
        <v>19.5</v>
      </c>
      <c r="U430" s="4" t="n">
        <f aca="false">IF(Q430=0,0,T430/Q430)</f>
        <v>0.498721227621483</v>
      </c>
      <c r="V430" s="2" t="s">
        <v>126</v>
      </c>
      <c r="W430" s="2" t="s">
        <v>136</v>
      </c>
      <c r="X430" s="2" t="s">
        <v>132</v>
      </c>
    </row>
    <row r="431" customFormat="false" ht="15" hidden="false" customHeight="false" outlineLevel="0" collapsed="false">
      <c r="A431" s="5" t="n">
        <v>430</v>
      </c>
      <c r="B431" s="5" t="s">
        <v>445</v>
      </c>
      <c r="C431" s="13" t="n">
        <v>46130</v>
      </c>
      <c r="D431" s="5" t="s">
        <v>217</v>
      </c>
      <c r="E431" s="5" t="s">
        <v>87</v>
      </c>
      <c r="F431" s="5" t="s">
        <v>88</v>
      </c>
      <c r="G431" s="5" t="s">
        <v>85</v>
      </c>
      <c r="H431" s="5" t="s">
        <v>86</v>
      </c>
      <c r="I431" s="11" t="n">
        <v>2</v>
      </c>
      <c r="J431" s="6" t="n">
        <v>2.49</v>
      </c>
      <c r="K431" s="6" t="n">
        <v>4.98</v>
      </c>
      <c r="L431" s="7" t="n">
        <v>0</v>
      </c>
      <c r="M431" s="6" t="n">
        <v>0</v>
      </c>
      <c r="N431" s="6" t="n">
        <v>1</v>
      </c>
      <c r="O431" s="6" t="n">
        <f aca="false">K431-M431-N431</f>
        <v>3.98</v>
      </c>
      <c r="P431" s="7" t="n">
        <v>0.1</v>
      </c>
      <c r="Q431" s="6" t="n">
        <v>3.62</v>
      </c>
      <c r="R431" s="6" t="n">
        <f aca="false">O431-Q431</f>
        <v>0.36</v>
      </c>
      <c r="S431" s="6" t="n">
        <v>3</v>
      </c>
      <c r="T431" s="6" t="n">
        <f aca="false">Q431-S431</f>
        <v>0.62</v>
      </c>
      <c r="U431" s="7" t="n">
        <f aca="false">IF(Q431=0,0,T431/Q431)</f>
        <v>0.171270718232044</v>
      </c>
      <c r="V431" s="5" t="s">
        <v>126</v>
      </c>
      <c r="W431" s="5" t="s">
        <v>154</v>
      </c>
      <c r="X431" s="5" t="s">
        <v>132</v>
      </c>
    </row>
    <row r="432" customFormat="false" ht="15" hidden="false" customHeight="false" outlineLevel="0" collapsed="false">
      <c r="A432" s="2" t="n">
        <v>431</v>
      </c>
      <c r="B432" s="2" t="s">
        <v>446</v>
      </c>
      <c r="C432" s="12" t="n">
        <v>46131</v>
      </c>
      <c r="D432" s="2" t="s">
        <v>139</v>
      </c>
      <c r="E432" s="2" t="s">
        <v>83</v>
      </c>
      <c r="F432" s="2" t="s">
        <v>84</v>
      </c>
      <c r="G432" s="2" t="s">
        <v>85</v>
      </c>
      <c r="H432" s="2" t="s">
        <v>86</v>
      </c>
      <c r="I432" s="9" t="n">
        <v>1</v>
      </c>
      <c r="J432" s="3" t="n">
        <v>3.9</v>
      </c>
      <c r="K432" s="3" t="n">
        <v>3.9</v>
      </c>
      <c r="L432" s="4" t="n">
        <v>0</v>
      </c>
      <c r="M432" s="3" t="n">
        <v>0</v>
      </c>
      <c r="N432" s="3" t="n">
        <v>0.39</v>
      </c>
      <c r="O432" s="3" t="n">
        <f aca="false">K432-M432-N432</f>
        <v>3.51</v>
      </c>
      <c r="P432" s="4" t="n">
        <v>0.1</v>
      </c>
      <c r="Q432" s="3" t="n">
        <v>3.19</v>
      </c>
      <c r="R432" s="3" t="n">
        <f aca="false">O432-Q432</f>
        <v>0.32</v>
      </c>
      <c r="S432" s="3" t="n">
        <v>2.5</v>
      </c>
      <c r="T432" s="3" t="n">
        <f aca="false">Q432-S432</f>
        <v>0.69</v>
      </c>
      <c r="U432" s="4" t="n">
        <f aca="false">IF(Q432=0,0,T432/Q432)</f>
        <v>0.216300940438871</v>
      </c>
      <c r="V432" s="2" t="s">
        <v>126</v>
      </c>
      <c r="W432" s="2" t="s">
        <v>136</v>
      </c>
      <c r="X432" s="2" t="s">
        <v>132</v>
      </c>
    </row>
    <row r="433" customFormat="false" ht="15" hidden="false" customHeight="false" outlineLevel="0" collapsed="false">
      <c r="A433" s="5" t="n">
        <v>432</v>
      </c>
      <c r="B433" s="5" t="s">
        <v>447</v>
      </c>
      <c r="C433" s="13" t="n">
        <v>46132</v>
      </c>
      <c r="D433" s="5" t="s">
        <v>223</v>
      </c>
      <c r="E433" s="5" t="s">
        <v>49</v>
      </c>
      <c r="F433" s="5" t="s">
        <v>50</v>
      </c>
      <c r="G433" s="5" t="s">
        <v>51</v>
      </c>
      <c r="H433" s="5" t="s">
        <v>52</v>
      </c>
      <c r="I433" s="11" t="n">
        <v>3</v>
      </c>
      <c r="J433" s="6" t="n">
        <v>19.9</v>
      </c>
      <c r="K433" s="6" t="n">
        <v>59.7</v>
      </c>
      <c r="L433" s="7" t="n">
        <v>0.05</v>
      </c>
      <c r="M433" s="6" t="n">
        <v>2.98</v>
      </c>
      <c r="N433" s="6" t="n">
        <v>5.67</v>
      </c>
      <c r="O433" s="6" t="n">
        <f aca="false">K433-M433-N433</f>
        <v>51.05</v>
      </c>
      <c r="P433" s="7" t="n">
        <v>0.21</v>
      </c>
      <c r="Q433" s="6" t="n">
        <v>42.19</v>
      </c>
      <c r="R433" s="6" t="n">
        <f aca="false">O433-Q433</f>
        <v>8.86000000000001</v>
      </c>
      <c r="S433" s="6" t="n">
        <v>23.7</v>
      </c>
      <c r="T433" s="6" t="n">
        <f aca="false">Q433-S433</f>
        <v>18.49</v>
      </c>
      <c r="U433" s="7" t="n">
        <f aca="false">IF(Q433=0,0,T433/Q433)</f>
        <v>0.438255510784546</v>
      </c>
      <c r="V433" s="5" t="s">
        <v>138</v>
      </c>
      <c r="W433" s="5" t="s">
        <v>177</v>
      </c>
      <c r="X433" s="5" t="s">
        <v>132</v>
      </c>
    </row>
    <row r="434" customFormat="false" ht="15" hidden="false" customHeight="false" outlineLevel="0" collapsed="false">
      <c r="A434" s="2" t="n">
        <v>433</v>
      </c>
      <c r="B434" s="2" t="s">
        <v>448</v>
      </c>
      <c r="C434" s="12" t="n">
        <v>46132</v>
      </c>
      <c r="D434" s="2" t="s">
        <v>202</v>
      </c>
      <c r="E434" s="2" t="s">
        <v>87</v>
      </c>
      <c r="F434" s="2" t="s">
        <v>88</v>
      </c>
      <c r="G434" s="2" t="s">
        <v>85</v>
      </c>
      <c r="H434" s="2" t="s">
        <v>86</v>
      </c>
      <c r="I434" s="9" t="n">
        <v>1</v>
      </c>
      <c r="J434" s="3" t="n">
        <v>2.49</v>
      </c>
      <c r="K434" s="3" t="n">
        <v>2.49</v>
      </c>
      <c r="L434" s="4" t="n">
        <v>0</v>
      </c>
      <c r="M434" s="3" t="n">
        <v>0</v>
      </c>
      <c r="N434" s="3" t="n">
        <v>0</v>
      </c>
      <c r="O434" s="3" t="n">
        <f aca="false">K434-M434-N434</f>
        <v>2.49</v>
      </c>
      <c r="P434" s="4" t="n">
        <v>0.1</v>
      </c>
      <c r="Q434" s="3" t="n">
        <v>2.26</v>
      </c>
      <c r="R434" s="3" t="n">
        <f aca="false">O434-Q434</f>
        <v>0.23</v>
      </c>
      <c r="S434" s="3" t="n">
        <v>1.5</v>
      </c>
      <c r="T434" s="3" t="n">
        <f aca="false">Q434-S434</f>
        <v>0.76</v>
      </c>
      <c r="U434" s="4" t="n">
        <f aca="false">IF(Q434=0,0,T434/Q434)</f>
        <v>0.336283185840708</v>
      </c>
      <c r="V434" s="2" t="s">
        <v>126</v>
      </c>
      <c r="W434" s="2" t="s">
        <v>156</v>
      </c>
      <c r="X434" s="2" t="s">
        <v>185</v>
      </c>
    </row>
    <row r="435" customFormat="false" ht="15" hidden="false" customHeight="false" outlineLevel="0" collapsed="false">
      <c r="A435" s="5" t="n">
        <v>434</v>
      </c>
      <c r="B435" s="5" t="s">
        <v>448</v>
      </c>
      <c r="C435" s="13" t="n">
        <v>46132</v>
      </c>
      <c r="D435" s="5" t="s">
        <v>202</v>
      </c>
      <c r="E435" s="5" t="s">
        <v>31</v>
      </c>
      <c r="F435" s="5" t="s">
        <v>32</v>
      </c>
      <c r="G435" s="5" t="s">
        <v>33</v>
      </c>
      <c r="H435" s="5" t="s">
        <v>23</v>
      </c>
      <c r="I435" s="11" t="n">
        <v>2</v>
      </c>
      <c r="J435" s="6" t="n">
        <v>89.9</v>
      </c>
      <c r="K435" s="6" t="n">
        <v>179.8</v>
      </c>
      <c r="L435" s="7" t="n">
        <v>0</v>
      </c>
      <c r="M435" s="6" t="n">
        <v>0</v>
      </c>
      <c r="N435" s="6" t="n">
        <v>0</v>
      </c>
      <c r="O435" s="6" t="n">
        <f aca="false">K435-M435-N435</f>
        <v>179.8</v>
      </c>
      <c r="P435" s="7" t="n">
        <v>0.21</v>
      </c>
      <c r="Q435" s="6" t="n">
        <v>148.6</v>
      </c>
      <c r="R435" s="6" t="n">
        <f aca="false">O435-Q435</f>
        <v>31.2</v>
      </c>
      <c r="S435" s="6" t="n">
        <v>96</v>
      </c>
      <c r="T435" s="6" t="n">
        <f aca="false">Q435-S435</f>
        <v>52.6</v>
      </c>
      <c r="U435" s="7" t="n">
        <f aca="false">IF(Q435=0,0,T435/Q435)</f>
        <v>0.353970390309556</v>
      </c>
      <c r="V435" s="5" t="s">
        <v>126</v>
      </c>
      <c r="W435" s="5" t="s">
        <v>156</v>
      </c>
      <c r="X435" s="5" t="s">
        <v>185</v>
      </c>
    </row>
    <row r="436" customFormat="false" ht="15" hidden="false" customHeight="false" outlineLevel="0" collapsed="false">
      <c r="A436" s="2" t="n">
        <v>435</v>
      </c>
      <c r="B436" s="2" t="s">
        <v>448</v>
      </c>
      <c r="C436" s="12" t="n">
        <v>46132</v>
      </c>
      <c r="D436" s="2" t="s">
        <v>202</v>
      </c>
      <c r="E436" s="2" t="s">
        <v>83</v>
      </c>
      <c r="F436" s="2" t="s">
        <v>84</v>
      </c>
      <c r="G436" s="2" t="s">
        <v>85</v>
      </c>
      <c r="H436" s="2" t="s">
        <v>86</v>
      </c>
      <c r="I436" s="9" t="n">
        <v>1</v>
      </c>
      <c r="J436" s="3" t="n">
        <v>3.9</v>
      </c>
      <c r="K436" s="3" t="n">
        <v>3.9</v>
      </c>
      <c r="L436" s="4" t="n">
        <v>0.15</v>
      </c>
      <c r="M436" s="3" t="n">
        <v>0.58</v>
      </c>
      <c r="N436" s="3" t="n">
        <v>0</v>
      </c>
      <c r="O436" s="3" t="n">
        <f aca="false">K436-M436-N436</f>
        <v>3.32</v>
      </c>
      <c r="P436" s="4" t="n">
        <v>0.1</v>
      </c>
      <c r="Q436" s="3" t="n">
        <v>3.02</v>
      </c>
      <c r="R436" s="3" t="n">
        <f aca="false">O436-Q436</f>
        <v>0.3</v>
      </c>
      <c r="S436" s="3" t="n">
        <v>2.5</v>
      </c>
      <c r="T436" s="3" t="n">
        <f aca="false">Q436-S436</f>
        <v>0.52</v>
      </c>
      <c r="U436" s="4" t="n">
        <f aca="false">IF(Q436=0,0,T436/Q436)</f>
        <v>0.172185430463576</v>
      </c>
      <c r="V436" s="2" t="s">
        <v>126</v>
      </c>
      <c r="W436" s="2" t="s">
        <v>156</v>
      </c>
      <c r="X436" s="2" t="s">
        <v>185</v>
      </c>
    </row>
    <row r="437" customFormat="false" ht="15" hidden="false" customHeight="false" outlineLevel="0" collapsed="false">
      <c r="A437" s="5" t="n">
        <v>436</v>
      </c>
      <c r="B437" s="5" t="s">
        <v>448</v>
      </c>
      <c r="C437" s="13" t="n">
        <v>46132</v>
      </c>
      <c r="D437" s="5" t="s">
        <v>202</v>
      </c>
      <c r="E437" s="5" t="s">
        <v>28</v>
      </c>
      <c r="F437" s="5" t="s">
        <v>29</v>
      </c>
      <c r="G437" s="5" t="s">
        <v>30</v>
      </c>
      <c r="H437" s="5" t="s">
        <v>23</v>
      </c>
      <c r="I437" s="11" t="n">
        <v>1</v>
      </c>
      <c r="J437" s="6" t="n">
        <v>289</v>
      </c>
      <c r="K437" s="6" t="n">
        <v>289</v>
      </c>
      <c r="L437" s="7" t="n">
        <v>0</v>
      </c>
      <c r="M437" s="6" t="n">
        <v>0</v>
      </c>
      <c r="N437" s="6" t="n">
        <v>0</v>
      </c>
      <c r="O437" s="6" t="n">
        <f aca="false">K437-M437-N437</f>
        <v>289</v>
      </c>
      <c r="P437" s="7" t="n">
        <v>0.21</v>
      </c>
      <c r="Q437" s="6" t="n">
        <v>238.84</v>
      </c>
      <c r="R437" s="6" t="n">
        <f aca="false">O437-Q437</f>
        <v>50.16</v>
      </c>
      <c r="S437" s="6" t="n">
        <v>140</v>
      </c>
      <c r="T437" s="6" t="n">
        <f aca="false">Q437-S437</f>
        <v>98.84</v>
      </c>
      <c r="U437" s="7" t="n">
        <f aca="false">IF(Q437=0,0,T437/Q437)</f>
        <v>0.413833528722157</v>
      </c>
      <c r="V437" s="5" t="s">
        <v>126</v>
      </c>
      <c r="W437" s="5" t="s">
        <v>156</v>
      </c>
      <c r="X437" s="5" t="s">
        <v>185</v>
      </c>
    </row>
    <row r="438" customFormat="false" ht="15" hidden="false" customHeight="false" outlineLevel="0" collapsed="false">
      <c r="A438" s="2" t="n">
        <v>437</v>
      </c>
      <c r="B438" s="2" t="s">
        <v>449</v>
      </c>
      <c r="C438" s="12" t="n">
        <v>46135</v>
      </c>
      <c r="D438" s="2" t="s">
        <v>258</v>
      </c>
      <c r="E438" s="2" t="s">
        <v>67</v>
      </c>
      <c r="F438" s="2" t="s">
        <v>68</v>
      </c>
      <c r="G438" s="2" t="s">
        <v>65</v>
      </c>
      <c r="H438" s="2" t="s">
        <v>66</v>
      </c>
      <c r="I438" s="9" t="n">
        <v>1</v>
      </c>
      <c r="J438" s="3" t="n">
        <v>64.9</v>
      </c>
      <c r="K438" s="3" t="n">
        <v>64.9</v>
      </c>
      <c r="L438" s="4" t="n">
        <v>0</v>
      </c>
      <c r="M438" s="3" t="n">
        <v>0</v>
      </c>
      <c r="N438" s="3" t="n">
        <v>6.49</v>
      </c>
      <c r="O438" s="3" t="n">
        <f aca="false">K438-M438-N438</f>
        <v>58.41</v>
      </c>
      <c r="P438" s="4" t="n">
        <v>0.21</v>
      </c>
      <c r="Q438" s="3" t="n">
        <v>48.27</v>
      </c>
      <c r="R438" s="3" t="n">
        <f aca="false">O438-Q438</f>
        <v>10.14</v>
      </c>
      <c r="S438" s="3" t="n">
        <v>28</v>
      </c>
      <c r="T438" s="3" t="n">
        <f aca="false">Q438-S438</f>
        <v>20.27</v>
      </c>
      <c r="U438" s="4" t="n">
        <f aca="false">IF(Q438=0,0,T438/Q438)</f>
        <v>0.419929562875492</v>
      </c>
      <c r="V438" s="2" t="s">
        <v>126</v>
      </c>
      <c r="W438" s="2" t="s">
        <v>154</v>
      </c>
      <c r="X438" s="2" t="s">
        <v>185</v>
      </c>
    </row>
    <row r="439" customFormat="false" ht="15" hidden="false" customHeight="false" outlineLevel="0" collapsed="false">
      <c r="A439" s="5" t="n">
        <v>438</v>
      </c>
      <c r="B439" s="5" t="s">
        <v>450</v>
      </c>
      <c r="C439" s="13" t="n">
        <v>46136</v>
      </c>
      <c r="D439" s="5" t="s">
        <v>223</v>
      </c>
      <c r="E439" s="5" t="s">
        <v>83</v>
      </c>
      <c r="F439" s="5" t="s">
        <v>84</v>
      </c>
      <c r="G439" s="5" t="s">
        <v>85</v>
      </c>
      <c r="H439" s="5" t="s">
        <v>86</v>
      </c>
      <c r="I439" s="11" t="n">
        <v>5</v>
      </c>
      <c r="J439" s="6" t="n">
        <v>3.9</v>
      </c>
      <c r="K439" s="6" t="n">
        <v>19.5</v>
      </c>
      <c r="L439" s="7" t="n">
        <v>0</v>
      </c>
      <c r="M439" s="6" t="n">
        <v>0</v>
      </c>
      <c r="N439" s="6" t="n">
        <v>0</v>
      </c>
      <c r="O439" s="6" t="n">
        <f aca="false">K439-M439-N439</f>
        <v>19.5</v>
      </c>
      <c r="P439" s="7" t="n">
        <v>0.1</v>
      </c>
      <c r="Q439" s="6" t="n">
        <v>17.73</v>
      </c>
      <c r="R439" s="6" t="n">
        <f aca="false">O439-Q439</f>
        <v>1.77</v>
      </c>
      <c r="S439" s="6" t="n">
        <v>12.5</v>
      </c>
      <c r="T439" s="6" t="n">
        <f aca="false">Q439-S439</f>
        <v>5.23</v>
      </c>
      <c r="U439" s="7" t="n">
        <f aca="false">IF(Q439=0,0,T439/Q439)</f>
        <v>0.294980259447265</v>
      </c>
      <c r="V439" s="5" t="s">
        <v>193</v>
      </c>
      <c r="W439" s="5" t="s">
        <v>154</v>
      </c>
      <c r="X439" s="5" t="s">
        <v>185</v>
      </c>
    </row>
    <row r="440" customFormat="false" ht="15" hidden="false" customHeight="false" outlineLevel="0" collapsed="false">
      <c r="A440" s="2" t="n">
        <v>439</v>
      </c>
      <c r="B440" s="2" t="s">
        <v>450</v>
      </c>
      <c r="C440" s="12" t="n">
        <v>46136</v>
      </c>
      <c r="D440" s="2" t="s">
        <v>223</v>
      </c>
      <c r="E440" s="2" t="s">
        <v>47</v>
      </c>
      <c r="F440" s="2" t="s">
        <v>48</v>
      </c>
      <c r="G440" s="2" t="s">
        <v>44</v>
      </c>
      <c r="H440" s="2" t="s">
        <v>39</v>
      </c>
      <c r="I440" s="9" t="n">
        <v>1</v>
      </c>
      <c r="J440" s="3" t="n">
        <v>34.9</v>
      </c>
      <c r="K440" s="3" t="n">
        <v>34.9</v>
      </c>
      <c r="L440" s="4" t="n">
        <v>0</v>
      </c>
      <c r="M440" s="3" t="n">
        <v>0</v>
      </c>
      <c r="N440" s="3" t="n">
        <v>0</v>
      </c>
      <c r="O440" s="3" t="n">
        <f aca="false">K440-M440-N440</f>
        <v>34.9</v>
      </c>
      <c r="P440" s="4" t="n">
        <v>0.21</v>
      </c>
      <c r="Q440" s="3" t="n">
        <v>28.84</v>
      </c>
      <c r="R440" s="3" t="n">
        <f aca="false">O440-Q440</f>
        <v>6.06</v>
      </c>
      <c r="S440" s="3" t="n">
        <v>14</v>
      </c>
      <c r="T440" s="3" t="n">
        <f aca="false">Q440-S440</f>
        <v>14.84</v>
      </c>
      <c r="U440" s="4" t="n">
        <f aca="false">IF(Q440=0,0,T440/Q440)</f>
        <v>0.514563106796117</v>
      </c>
      <c r="V440" s="2" t="s">
        <v>193</v>
      </c>
      <c r="W440" s="2" t="s">
        <v>154</v>
      </c>
      <c r="X440" s="2" t="s">
        <v>185</v>
      </c>
    </row>
    <row r="441" customFormat="false" ht="15" hidden="false" customHeight="false" outlineLevel="0" collapsed="false">
      <c r="A441" s="5" t="n">
        <v>440</v>
      </c>
      <c r="B441" s="5" t="s">
        <v>451</v>
      </c>
      <c r="C441" s="13" t="n">
        <v>46138</v>
      </c>
      <c r="D441" s="5" t="s">
        <v>258</v>
      </c>
      <c r="E441" s="5" t="s">
        <v>34</v>
      </c>
      <c r="F441" s="5" t="s">
        <v>35</v>
      </c>
      <c r="G441" s="5" t="s">
        <v>30</v>
      </c>
      <c r="H441" s="5" t="s">
        <v>23</v>
      </c>
      <c r="I441" s="11" t="n">
        <v>1</v>
      </c>
      <c r="J441" s="6" t="n">
        <v>44.9</v>
      </c>
      <c r="K441" s="6" t="n">
        <v>44.9</v>
      </c>
      <c r="L441" s="7" t="n">
        <v>0</v>
      </c>
      <c r="M441" s="6" t="n">
        <v>0</v>
      </c>
      <c r="N441" s="6" t="n">
        <v>0</v>
      </c>
      <c r="O441" s="6" t="n">
        <f aca="false">K441-M441-N441</f>
        <v>44.9</v>
      </c>
      <c r="P441" s="7" t="n">
        <v>0.21</v>
      </c>
      <c r="Q441" s="6" t="n">
        <v>37.11</v>
      </c>
      <c r="R441" s="6" t="n">
        <f aca="false">O441-Q441</f>
        <v>7.79</v>
      </c>
      <c r="S441" s="6" t="n">
        <v>19</v>
      </c>
      <c r="T441" s="6" t="n">
        <f aca="false">Q441-S441</f>
        <v>18.11</v>
      </c>
      <c r="U441" s="7" t="n">
        <f aca="false">IF(Q441=0,0,T441/Q441)</f>
        <v>0.488008623012665</v>
      </c>
      <c r="V441" s="5" t="s">
        <v>126</v>
      </c>
      <c r="W441" s="5" t="s">
        <v>154</v>
      </c>
      <c r="X441" s="5" t="s">
        <v>132</v>
      </c>
    </row>
    <row r="442" customFormat="false" ht="15" hidden="false" customHeight="false" outlineLevel="0" collapsed="false">
      <c r="A442" s="2" t="n">
        <v>441</v>
      </c>
      <c r="B442" s="2" t="s">
        <v>451</v>
      </c>
      <c r="C442" s="12" t="n">
        <v>46138</v>
      </c>
      <c r="D442" s="2" t="s">
        <v>258</v>
      </c>
      <c r="E442" s="2" t="s">
        <v>81</v>
      </c>
      <c r="F442" s="2" t="s">
        <v>82</v>
      </c>
      <c r="G442" s="2" t="s">
        <v>79</v>
      </c>
      <c r="H442" s="2" t="s">
        <v>80</v>
      </c>
      <c r="I442" s="9" t="n">
        <v>1</v>
      </c>
      <c r="J442" s="3" t="n">
        <v>19.9</v>
      </c>
      <c r="K442" s="3" t="n">
        <v>19.9</v>
      </c>
      <c r="L442" s="4" t="n">
        <v>0</v>
      </c>
      <c r="M442" s="3" t="n">
        <v>0</v>
      </c>
      <c r="N442" s="3" t="n">
        <v>0</v>
      </c>
      <c r="O442" s="3" t="n">
        <f aca="false">K442-M442-N442</f>
        <v>19.9</v>
      </c>
      <c r="P442" s="4" t="n">
        <v>0.21</v>
      </c>
      <c r="Q442" s="3" t="n">
        <v>16.45</v>
      </c>
      <c r="R442" s="3" t="n">
        <f aca="false">O442-Q442</f>
        <v>3.45</v>
      </c>
      <c r="S442" s="3" t="n">
        <v>7</v>
      </c>
      <c r="T442" s="3" t="n">
        <f aca="false">Q442-S442</f>
        <v>9.45</v>
      </c>
      <c r="U442" s="4" t="n">
        <f aca="false">IF(Q442=0,0,T442/Q442)</f>
        <v>0.574468085106383</v>
      </c>
      <c r="V442" s="2" t="s">
        <v>126</v>
      </c>
      <c r="W442" s="2" t="s">
        <v>154</v>
      </c>
      <c r="X442" s="2" t="s">
        <v>132</v>
      </c>
    </row>
    <row r="443" customFormat="false" ht="15" hidden="false" customHeight="false" outlineLevel="0" collapsed="false">
      <c r="A443" s="5" t="n">
        <v>442</v>
      </c>
      <c r="B443" s="5" t="s">
        <v>452</v>
      </c>
      <c r="C443" s="13" t="n">
        <v>46139</v>
      </c>
      <c r="D443" s="5" t="s">
        <v>173</v>
      </c>
      <c r="E443" s="5" t="s">
        <v>57</v>
      </c>
      <c r="F443" s="5" t="s">
        <v>58</v>
      </c>
      <c r="G443" s="5" t="s">
        <v>59</v>
      </c>
      <c r="H443" s="5" t="s">
        <v>60</v>
      </c>
      <c r="I443" s="11" t="n">
        <v>1</v>
      </c>
      <c r="J443" s="6" t="n">
        <v>39.9</v>
      </c>
      <c r="K443" s="6" t="n">
        <v>39.9</v>
      </c>
      <c r="L443" s="7" t="n">
        <v>0</v>
      </c>
      <c r="M443" s="6" t="n">
        <v>0</v>
      </c>
      <c r="N443" s="6" t="n">
        <v>0</v>
      </c>
      <c r="O443" s="6" t="n">
        <f aca="false">K443-M443-N443</f>
        <v>39.9</v>
      </c>
      <c r="P443" s="7" t="n">
        <v>0.21</v>
      </c>
      <c r="Q443" s="6" t="n">
        <v>32.98</v>
      </c>
      <c r="R443" s="6" t="n">
        <f aca="false">O443-Q443</f>
        <v>6.92</v>
      </c>
      <c r="S443" s="6" t="n">
        <v>16</v>
      </c>
      <c r="T443" s="6" t="n">
        <f aca="false">Q443-S443</f>
        <v>16.98</v>
      </c>
      <c r="U443" s="7" t="n">
        <f aca="false">IF(Q443=0,0,T443/Q443)</f>
        <v>0.514857489387508</v>
      </c>
      <c r="V443" s="5" t="s">
        <v>148</v>
      </c>
      <c r="W443" s="5" t="s">
        <v>177</v>
      </c>
      <c r="X443" s="5" t="s">
        <v>132</v>
      </c>
    </row>
    <row r="444" customFormat="false" ht="15" hidden="false" customHeight="false" outlineLevel="0" collapsed="false">
      <c r="A444" s="2" t="n">
        <v>443</v>
      </c>
      <c r="B444" s="2" t="s">
        <v>452</v>
      </c>
      <c r="C444" s="12" t="n">
        <v>46139</v>
      </c>
      <c r="D444" s="2" t="s">
        <v>173</v>
      </c>
      <c r="E444" s="2" t="s">
        <v>73</v>
      </c>
      <c r="F444" s="2" t="s">
        <v>74</v>
      </c>
      <c r="G444" s="2" t="s">
        <v>71</v>
      </c>
      <c r="H444" s="2" t="s">
        <v>72</v>
      </c>
      <c r="I444" s="9" t="n">
        <v>2</v>
      </c>
      <c r="J444" s="3" t="n">
        <v>69.9</v>
      </c>
      <c r="K444" s="3" t="n">
        <v>139.8</v>
      </c>
      <c r="L444" s="4" t="n">
        <v>0</v>
      </c>
      <c r="M444" s="3" t="n">
        <v>0</v>
      </c>
      <c r="N444" s="3" t="n">
        <v>0</v>
      </c>
      <c r="O444" s="3" t="n">
        <f aca="false">K444-M444-N444</f>
        <v>139.8</v>
      </c>
      <c r="P444" s="4" t="n">
        <v>0.21</v>
      </c>
      <c r="Q444" s="3" t="n">
        <v>115.54</v>
      </c>
      <c r="R444" s="3" t="n">
        <f aca="false">O444-Q444</f>
        <v>24.26</v>
      </c>
      <c r="S444" s="3" t="n">
        <v>58</v>
      </c>
      <c r="T444" s="3" t="n">
        <f aca="false">Q444-S444</f>
        <v>57.54</v>
      </c>
      <c r="U444" s="4" t="n">
        <f aca="false">IF(Q444=0,0,T444/Q444)</f>
        <v>0.498009347412152</v>
      </c>
      <c r="V444" s="2" t="s">
        <v>148</v>
      </c>
      <c r="W444" s="2" t="s">
        <v>177</v>
      </c>
      <c r="X444" s="2" t="s">
        <v>132</v>
      </c>
    </row>
    <row r="445" customFormat="false" ht="15" hidden="false" customHeight="false" outlineLevel="0" collapsed="false">
      <c r="A445" s="5" t="n">
        <v>444</v>
      </c>
      <c r="B445" s="5" t="s">
        <v>452</v>
      </c>
      <c r="C445" s="13" t="n">
        <v>46139</v>
      </c>
      <c r="D445" s="5" t="s">
        <v>173</v>
      </c>
      <c r="E445" s="5" t="s">
        <v>96</v>
      </c>
      <c r="F445" s="5" t="s">
        <v>97</v>
      </c>
      <c r="G445" s="5" t="s">
        <v>94</v>
      </c>
      <c r="H445" s="5" t="s">
        <v>95</v>
      </c>
      <c r="I445" s="11" t="n">
        <v>3</v>
      </c>
      <c r="J445" s="6" t="n">
        <v>7.99</v>
      </c>
      <c r="K445" s="6" t="n">
        <v>23.97</v>
      </c>
      <c r="L445" s="7" t="n">
        <v>0</v>
      </c>
      <c r="M445" s="6" t="n">
        <v>0</v>
      </c>
      <c r="N445" s="6" t="n">
        <v>0</v>
      </c>
      <c r="O445" s="6" t="n">
        <f aca="false">K445-M445-N445</f>
        <v>23.97</v>
      </c>
      <c r="P445" s="7" t="n">
        <v>0.1</v>
      </c>
      <c r="Q445" s="6" t="n">
        <v>21.79</v>
      </c>
      <c r="R445" s="6" t="n">
        <f aca="false">O445-Q445</f>
        <v>2.18</v>
      </c>
      <c r="S445" s="6" t="n">
        <v>10.2</v>
      </c>
      <c r="T445" s="6" t="n">
        <f aca="false">Q445-S445</f>
        <v>11.59</v>
      </c>
      <c r="U445" s="7" t="n">
        <f aca="false">IF(Q445=0,0,T445/Q445)</f>
        <v>0.53189536484626</v>
      </c>
      <c r="V445" s="5" t="s">
        <v>148</v>
      </c>
      <c r="W445" s="5" t="s">
        <v>177</v>
      </c>
      <c r="X445" s="5" t="s">
        <v>132</v>
      </c>
    </row>
    <row r="446" customFormat="false" ht="15" hidden="false" customHeight="false" outlineLevel="0" collapsed="false">
      <c r="A446" s="2" t="n">
        <v>445</v>
      </c>
      <c r="B446" s="2" t="s">
        <v>453</v>
      </c>
      <c r="C446" s="12" t="n">
        <v>46139</v>
      </c>
      <c r="D446" s="2" t="s">
        <v>179</v>
      </c>
      <c r="E446" s="2" t="s">
        <v>47</v>
      </c>
      <c r="F446" s="2" t="s">
        <v>48</v>
      </c>
      <c r="G446" s="2" t="s">
        <v>44</v>
      </c>
      <c r="H446" s="2" t="s">
        <v>39</v>
      </c>
      <c r="I446" s="9" t="n">
        <v>6</v>
      </c>
      <c r="J446" s="3" t="n">
        <v>34.9</v>
      </c>
      <c r="K446" s="3" t="n">
        <v>209.4</v>
      </c>
      <c r="L446" s="4" t="n">
        <v>0.1</v>
      </c>
      <c r="M446" s="3" t="n">
        <v>20.94</v>
      </c>
      <c r="N446" s="3" t="n">
        <v>0</v>
      </c>
      <c r="O446" s="3" t="n">
        <f aca="false">K446-M446-N446</f>
        <v>188.46</v>
      </c>
      <c r="P446" s="4" t="n">
        <v>0.21</v>
      </c>
      <c r="Q446" s="3" t="n">
        <v>155.75</v>
      </c>
      <c r="R446" s="3" t="n">
        <f aca="false">O446-Q446</f>
        <v>32.71</v>
      </c>
      <c r="S446" s="3" t="n">
        <v>84</v>
      </c>
      <c r="T446" s="3" t="n">
        <f aca="false">Q446-S446</f>
        <v>71.75</v>
      </c>
      <c r="U446" s="4" t="n">
        <f aca="false">IF(Q446=0,0,T446/Q446)</f>
        <v>0.460674157303371</v>
      </c>
      <c r="V446" s="2" t="s">
        <v>126</v>
      </c>
      <c r="W446" s="2" t="s">
        <v>156</v>
      </c>
      <c r="X446" s="2" t="s">
        <v>132</v>
      </c>
    </row>
    <row r="447" customFormat="false" ht="15" hidden="false" customHeight="false" outlineLevel="0" collapsed="false">
      <c r="A447" s="5" t="n">
        <v>446</v>
      </c>
      <c r="B447" s="5" t="s">
        <v>454</v>
      </c>
      <c r="C447" s="13" t="n">
        <v>46142</v>
      </c>
      <c r="D447" s="5" t="s">
        <v>223</v>
      </c>
      <c r="E447" s="5" t="s">
        <v>47</v>
      </c>
      <c r="F447" s="5" t="s">
        <v>48</v>
      </c>
      <c r="G447" s="5" t="s">
        <v>44</v>
      </c>
      <c r="H447" s="5" t="s">
        <v>39</v>
      </c>
      <c r="I447" s="11" t="n">
        <v>1</v>
      </c>
      <c r="J447" s="6" t="n">
        <v>34.9</v>
      </c>
      <c r="K447" s="6" t="n">
        <v>34.9</v>
      </c>
      <c r="L447" s="7" t="n">
        <v>0</v>
      </c>
      <c r="M447" s="6" t="n">
        <v>0</v>
      </c>
      <c r="N447" s="6" t="n">
        <v>6.98</v>
      </c>
      <c r="O447" s="6" t="n">
        <f aca="false">K447-M447-N447</f>
        <v>27.92</v>
      </c>
      <c r="P447" s="7" t="n">
        <v>0.21</v>
      </c>
      <c r="Q447" s="6" t="n">
        <v>23.07</v>
      </c>
      <c r="R447" s="6" t="n">
        <f aca="false">O447-Q447</f>
        <v>4.85</v>
      </c>
      <c r="S447" s="6" t="n">
        <v>14</v>
      </c>
      <c r="T447" s="6" t="n">
        <f aca="false">Q447-S447</f>
        <v>9.07</v>
      </c>
      <c r="U447" s="7" t="n">
        <f aca="false">IF(Q447=0,0,T447/Q447)</f>
        <v>0.393151278716948</v>
      </c>
      <c r="V447" s="5" t="s">
        <v>172</v>
      </c>
      <c r="W447" s="5" t="s">
        <v>154</v>
      </c>
      <c r="X447" s="5" t="s">
        <v>132</v>
      </c>
    </row>
    <row r="448" customFormat="false" ht="15" hidden="false" customHeight="false" outlineLevel="0" collapsed="false">
      <c r="A448" s="2" t="n">
        <v>447</v>
      </c>
      <c r="B448" s="2" t="s">
        <v>454</v>
      </c>
      <c r="C448" s="12" t="n">
        <v>46142</v>
      </c>
      <c r="D448" s="2" t="s">
        <v>223</v>
      </c>
      <c r="E448" s="2" t="s">
        <v>36</v>
      </c>
      <c r="F448" s="2" t="s">
        <v>37</v>
      </c>
      <c r="G448" s="2" t="s">
        <v>38</v>
      </c>
      <c r="H448" s="2" t="s">
        <v>39</v>
      </c>
      <c r="I448" s="9" t="n">
        <v>2</v>
      </c>
      <c r="J448" s="3" t="n">
        <v>399</v>
      </c>
      <c r="K448" s="3" t="n">
        <v>798</v>
      </c>
      <c r="L448" s="4" t="n">
        <v>0</v>
      </c>
      <c r="M448" s="3" t="n">
        <v>0</v>
      </c>
      <c r="N448" s="3" t="n">
        <v>159.6</v>
      </c>
      <c r="O448" s="3" t="n">
        <f aca="false">K448-M448-N448</f>
        <v>638.4</v>
      </c>
      <c r="P448" s="4" t="n">
        <v>0.21</v>
      </c>
      <c r="Q448" s="3" t="n">
        <v>527.6</v>
      </c>
      <c r="R448" s="3" t="n">
        <f aca="false">O448-Q448</f>
        <v>110.8</v>
      </c>
      <c r="S448" s="3" t="n">
        <v>530</v>
      </c>
      <c r="T448" s="3" t="n">
        <f aca="false">Q448-S448</f>
        <v>-2.39999999999998</v>
      </c>
      <c r="U448" s="4" t="n">
        <f aca="false">IF(Q448=0,0,T448/Q448)</f>
        <v>-0.00454890068233506</v>
      </c>
      <c r="V448" s="2" t="s">
        <v>172</v>
      </c>
      <c r="W448" s="2" t="s">
        <v>154</v>
      </c>
      <c r="X448" s="2" t="s">
        <v>132</v>
      </c>
    </row>
    <row r="449" customFormat="false" ht="15" hidden="false" customHeight="false" outlineLevel="0" collapsed="false">
      <c r="A449" s="5" t="n">
        <v>448</v>
      </c>
      <c r="B449" s="5" t="s">
        <v>455</v>
      </c>
      <c r="C449" s="13" t="n">
        <v>46143</v>
      </c>
      <c r="D449" s="5" t="s">
        <v>202</v>
      </c>
      <c r="E449" s="5" t="s">
        <v>89</v>
      </c>
      <c r="F449" s="5" t="s">
        <v>90</v>
      </c>
      <c r="G449" s="5" t="s">
        <v>91</v>
      </c>
      <c r="H449" s="5" t="s">
        <v>86</v>
      </c>
      <c r="I449" s="11" t="n">
        <v>3</v>
      </c>
      <c r="J449" s="6" t="n">
        <v>4.99</v>
      </c>
      <c r="K449" s="6" t="n">
        <v>14.97</v>
      </c>
      <c r="L449" s="7" t="n">
        <v>0</v>
      </c>
      <c r="M449" s="6" t="n">
        <v>0</v>
      </c>
      <c r="N449" s="6" t="n">
        <v>0</v>
      </c>
      <c r="O449" s="6" t="n">
        <f aca="false">K449-M449-N449</f>
        <v>14.97</v>
      </c>
      <c r="P449" s="7" t="n">
        <v>0.1</v>
      </c>
      <c r="Q449" s="6" t="n">
        <v>13.61</v>
      </c>
      <c r="R449" s="6" t="n">
        <f aca="false">O449-Q449</f>
        <v>1.36</v>
      </c>
      <c r="S449" s="6" t="n">
        <v>6.9</v>
      </c>
      <c r="T449" s="6" t="n">
        <f aca="false">Q449-S449</f>
        <v>6.71</v>
      </c>
      <c r="U449" s="7" t="n">
        <f aca="false">IF(Q449=0,0,T449/Q449)</f>
        <v>0.493019838354151</v>
      </c>
      <c r="V449" s="5" t="s">
        <v>126</v>
      </c>
      <c r="W449" s="5" t="s">
        <v>156</v>
      </c>
      <c r="X449" s="5" t="s">
        <v>132</v>
      </c>
    </row>
    <row r="450" customFormat="false" ht="15" hidden="false" customHeight="false" outlineLevel="0" collapsed="false">
      <c r="A450" s="2" t="n">
        <v>449</v>
      </c>
      <c r="B450" s="2" t="s">
        <v>456</v>
      </c>
      <c r="C450" s="12" t="n">
        <v>46147</v>
      </c>
      <c r="D450" s="2" t="s">
        <v>139</v>
      </c>
      <c r="E450" s="2" t="s">
        <v>47</v>
      </c>
      <c r="F450" s="2" t="s">
        <v>48</v>
      </c>
      <c r="G450" s="2" t="s">
        <v>44</v>
      </c>
      <c r="H450" s="2" t="s">
        <v>39</v>
      </c>
      <c r="I450" s="9" t="n">
        <v>1</v>
      </c>
      <c r="J450" s="3" t="n">
        <v>34.9</v>
      </c>
      <c r="K450" s="3" t="n">
        <v>34.9</v>
      </c>
      <c r="L450" s="4" t="n">
        <v>0</v>
      </c>
      <c r="M450" s="3" t="n">
        <v>0</v>
      </c>
      <c r="N450" s="3" t="n">
        <v>0</v>
      </c>
      <c r="O450" s="3" t="n">
        <f aca="false">K450-M450-N450</f>
        <v>34.9</v>
      </c>
      <c r="P450" s="4" t="n">
        <v>0.21</v>
      </c>
      <c r="Q450" s="3" t="n">
        <v>28.84</v>
      </c>
      <c r="R450" s="3" t="n">
        <f aca="false">O450-Q450</f>
        <v>6.06</v>
      </c>
      <c r="S450" s="3" t="n">
        <v>14</v>
      </c>
      <c r="T450" s="3" t="n">
        <f aca="false">Q450-S450</f>
        <v>14.84</v>
      </c>
      <c r="U450" s="4" t="n">
        <f aca="false">IF(Q450=0,0,T450/Q450)</f>
        <v>0.514563106796117</v>
      </c>
      <c r="V450" s="2" t="s">
        <v>138</v>
      </c>
      <c r="W450" s="2" t="s">
        <v>154</v>
      </c>
      <c r="X450" s="2" t="s">
        <v>132</v>
      </c>
    </row>
    <row r="451" customFormat="false" ht="15" hidden="false" customHeight="false" outlineLevel="0" collapsed="false">
      <c r="A451" s="5" t="n">
        <v>450</v>
      </c>
      <c r="B451" s="5" t="s">
        <v>456</v>
      </c>
      <c r="C451" s="13" t="n">
        <v>46147</v>
      </c>
      <c r="D451" s="5" t="s">
        <v>139</v>
      </c>
      <c r="E451" s="5" t="s">
        <v>57</v>
      </c>
      <c r="F451" s="5" t="s">
        <v>58</v>
      </c>
      <c r="G451" s="5" t="s">
        <v>59</v>
      </c>
      <c r="H451" s="5" t="s">
        <v>60</v>
      </c>
      <c r="I451" s="11" t="n">
        <v>1</v>
      </c>
      <c r="J451" s="6" t="n">
        <v>39.9</v>
      </c>
      <c r="K451" s="6" t="n">
        <v>39.9</v>
      </c>
      <c r="L451" s="7" t="n">
        <v>0</v>
      </c>
      <c r="M451" s="6" t="n">
        <v>0</v>
      </c>
      <c r="N451" s="6" t="n">
        <v>0</v>
      </c>
      <c r="O451" s="6" t="n">
        <f aca="false">K451-M451-N451</f>
        <v>39.9</v>
      </c>
      <c r="P451" s="7" t="n">
        <v>0.21</v>
      </c>
      <c r="Q451" s="6" t="n">
        <v>32.98</v>
      </c>
      <c r="R451" s="6" t="n">
        <f aca="false">O451-Q451</f>
        <v>6.92</v>
      </c>
      <c r="S451" s="6" t="n">
        <v>16</v>
      </c>
      <c r="T451" s="6" t="n">
        <f aca="false">Q451-S451</f>
        <v>16.98</v>
      </c>
      <c r="U451" s="7" t="n">
        <f aca="false">IF(Q451=0,0,T451/Q451)</f>
        <v>0.514857489387508</v>
      </c>
      <c r="V451" s="5" t="s">
        <v>138</v>
      </c>
      <c r="W451" s="5" t="s">
        <v>154</v>
      </c>
      <c r="X451" s="5" t="s">
        <v>132</v>
      </c>
    </row>
    <row r="452" customFormat="false" ht="15" hidden="false" customHeight="false" outlineLevel="0" collapsed="false">
      <c r="A452" s="2" t="n">
        <v>451</v>
      </c>
      <c r="B452" s="2" t="s">
        <v>456</v>
      </c>
      <c r="C452" s="12" t="n">
        <v>46147</v>
      </c>
      <c r="D452" s="2" t="s">
        <v>139</v>
      </c>
      <c r="E452" s="2" t="s">
        <v>96</v>
      </c>
      <c r="F452" s="2" t="s">
        <v>97</v>
      </c>
      <c r="G452" s="2" t="s">
        <v>94</v>
      </c>
      <c r="H452" s="2" t="s">
        <v>95</v>
      </c>
      <c r="I452" s="9" t="n">
        <v>2</v>
      </c>
      <c r="J452" s="3" t="n">
        <v>7.99</v>
      </c>
      <c r="K452" s="3" t="n">
        <v>15.98</v>
      </c>
      <c r="L452" s="4" t="n">
        <v>0</v>
      </c>
      <c r="M452" s="3" t="n">
        <v>0</v>
      </c>
      <c r="N452" s="3" t="n">
        <v>0</v>
      </c>
      <c r="O452" s="3" t="n">
        <f aca="false">K452-M452-N452</f>
        <v>15.98</v>
      </c>
      <c r="P452" s="4" t="n">
        <v>0.1</v>
      </c>
      <c r="Q452" s="3" t="n">
        <v>14.53</v>
      </c>
      <c r="R452" s="3" t="n">
        <f aca="false">O452-Q452</f>
        <v>1.45</v>
      </c>
      <c r="S452" s="3" t="n">
        <v>6.8</v>
      </c>
      <c r="T452" s="3" t="n">
        <f aca="false">Q452-S452</f>
        <v>7.73</v>
      </c>
      <c r="U452" s="4" t="n">
        <f aca="false">IF(Q452=0,0,T452/Q452)</f>
        <v>0.532002752924983</v>
      </c>
      <c r="V452" s="2" t="s">
        <v>138</v>
      </c>
      <c r="W452" s="2" t="s">
        <v>154</v>
      </c>
      <c r="X452" s="2" t="s">
        <v>132</v>
      </c>
    </row>
    <row r="453" customFormat="false" ht="15" hidden="false" customHeight="false" outlineLevel="0" collapsed="false">
      <c r="A453" s="5" t="n">
        <v>452</v>
      </c>
      <c r="B453" s="5" t="s">
        <v>457</v>
      </c>
      <c r="C453" s="13" t="n">
        <v>46147</v>
      </c>
      <c r="D453" s="5" t="s">
        <v>223</v>
      </c>
      <c r="E453" s="5" t="s">
        <v>57</v>
      </c>
      <c r="F453" s="5" t="s">
        <v>58</v>
      </c>
      <c r="G453" s="5" t="s">
        <v>59</v>
      </c>
      <c r="H453" s="5" t="s">
        <v>60</v>
      </c>
      <c r="I453" s="11" t="n">
        <v>1</v>
      </c>
      <c r="J453" s="6" t="n">
        <v>39.9</v>
      </c>
      <c r="K453" s="6" t="n">
        <v>39.9</v>
      </c>
      <c r="L453" s="7" t="n">
        <v>0</v>
      </c>
      <c r="M453" s="6" t="n">
        <v>0</v>
      </c>
      <c r="N453" s="6" t="n">
        <v>0</v>
      </c>
      <c r="O453" s="6" t="n">
        <f aca="false">K453-M453-N453</f>
        <v>39.9</v>
      </c>
      <c r="P453" s="7" t="n">
        <v>0.21</v>
      </c>
      <c r="Q453" s="6" t="n">
        <v>32.98</v>
      </c>
      <c r="R453" s="6" t="n">
        <f aca="false">O453-Q453</f>
        <v>6.92</v>
      </c>
      <c r="S453" s="6" t="n">
        <v>16</v>
      </c>
      <c r="T453" s="6" t="n">
        <f aca="false">Q453-S453</f>
        <v>16.98</v>
      </c>
      <c r="U453" s="7" t="n">
        <f aca="false">IF(Q453=0,0,T453/Q453)</f>
        <v>0.514857489387508</v>
      </c>
      <c r="V453" s="5" t="s">
        <v>138</v>
      </c>
      <c r="W453" s="5" t="s">
        <v>136</v>
      </c>
      <c r="X453" s="5" t="s">
        <v>132</v>
      </c>
    </row>
    <row r="454" customFormat="false" ht="15" hidden="false" customHeight="false" outlineLevel="0" collapsed="false">
      <c r="A454" s="2" t="n">
        <v>453</v>
      </c>
      <c r="B454" s="2" t="s">
        <v>458</v>
      </c>
      <c r="C454" s="12" t="n">
        <v>46147</v>
      </c>
      <c r="D454" s="2" t="s">
        <v>217</v>
      </c>
      <c r="E454" s="2" t="s">
        <v>73</v>
      </c>
      <c r="F454" s="2" t="s">
        <v>74</v>
      </c>
      <c r="G454" s="2" t="s">
        <v>71</v>
      </c>
      <c r="H454" s="2" t="s">
        <v>72</v>
      </c>
      <c r="I454" s="9" t="n">
        <v>3</v>
      </c>
      <c r="J454" s="3" t="n">
        <v>69.9</v>
      </c>
      <c r="K454" s="3" t="n">
        <v>209.7</v>
      </c>
      <c r="L454" s="4" t="n">
        <v>0</v>
      </c>
      <c r="M454" s="3" t="n">
        <v>0</v>
      </c>
      <c r="N454" s="3" t="n">
        <v>41.94</v>
      </c>
      <c r="O454" s="3" t="n">
        <f aca="false">K454-M454-N454</f>
        <v>167.76</v>
      </c>
      <c r="P454" s="4" t="n">
        <v>0.21</v>
      </c>
      <c r="Q454" s="3" t="n">
        <v>138.64</v>
      </c>
      <c r="R454" s="3" t="n">
        <f aca="false">O454-Q454</f>
        <v>29.12</v>
      </c>
      <c r="S454" s="3" t="n">
        <v>87</v>
      </c>
      <c r="T454" s="3" t="n">
        <f aca="false">Q454-S454</f>
        <v>51.64</v>
      </c>
      <c r="U454" s="4" t="n">
        <f aca="false">IF(Q454=0,0,T454/Q454)</f>
        <v>0.372475476053087</v>
      </c>
      <c r="V454" s="2" t="s">
        <v>126</v>
      </c>
      <c r="W454" s="2" t="s">
        <v>136</v>
      </c>
      <c r="X454" s="2" t="s">
        <v>231</v>
      </c>
    </row>
    <row r="455" customFormat="false" ht="15" hidden="false" customHeight="false" outlineLevel="0" collapsed="false">
      <c r="A455" s="5" t="n">
        <v>454</v>
      </c>
      <c r="B455" s="5" t="s">
        <v>459</v>
      </c>
      <c r="C455" s="13" t="n">
        <v>46148</v>
      </c>
      <c r="D455" s="5" t="s">
        <v>158</v>
      </c>
      <c r="E455" s="5" t="s">
        <v>36</v>
      </c>
      <c r="F455" s="5" t="s">
        <v>37</v>
      </c>
      <c r="G455" s="5" t="s">
        <v>38</v>
      </c>
      <c r="H455" s="5" t="s">
        <v>39</v>
      </c>
      <c r="I455" s="11" t="n">
        <v>1</v>
      </c>
      <c r="J455" s="6" t="n">
        <v>399</v>
      </c>
      <c r="K455" s="6" t="n">
        <v>399</v>
      </c>
      <c r="L455" s="7" t="n">
        <v>0</v>
      </c>
      <c r="M455" s="6" t="n">
        <v>0</v>
      </c>
      <c r="N455" s="6" t="n">
        <v>79.8</v>
      </c>
      <c r="O455" s="6" t="n">
        <f aca="false">K455-M455-N455</f>
        <v>319.2</v>
      </c>
      <c r="P455" s="7" t="n">
        <v>0.21</v>
      </c>
      <c r="Q455" s="6" t="n">
        <v>263.8</v>
      </c>
      <c r="R455" s="6" t="n">
        <f aca="false">O455-Q455</f>
        <v>55.4</v>
      </c>
      <c r="S455" s="6" t="n">
        <v>265</v>
      </c>
      <c r="T455" s="6" t="n">
        <f aca="false">Q455-S455</f>
        <v>-1.19999999999999</v>
      </c>
      <c r="U455" s="7" t="n">
        <f aca="false">IF(Q455=0,0,T455/Q455)</f>
        <v>-0.00454890068233506</v>
      </c>
      <c r="V455" s="5" t="s">
        <v>126</v>
      </c>
      <c r="W455" s="5" t="s">
        <v>136</v>
      </c>
      <c r="X455" s="5" t="s">
        <v>132</v>
      </c>
    </row>
    <row r="456" customFormat="false" ht="15" hidden="false" customHeight="false" outlineLevel="0" collapsed="false">
      <c r="A456" s="2" t="n">
        <v>455</v>
      </c>
      <c r="B456" s="2" t="s">
        <v>460</v>
      </c>
      <c r="C456" s="12" t="n">
        <v>46149</v>
      </c>
      <c r="D456" s="2" t="s">
        <v>217</v>
      </c>
      <c r="E456" s="2" t="s">
        <v>75</v>
      </c>
      <c r="F456" s="2" t="s">
        <v>76</v>
      </c>
      <c r="G456" s="2" t="s">
        <v>71</v>
      </c>
      <c r="H456" s="2" t="s">
        <v>72</v>
      </c>
      <c r="I456" s="9" t="n">
        <v>1</v>
      </c>
      <c r="J456" s="3" t="n">
        <v>449</v>
      </c>
      <c r="K456" s="3" t="n">
        <v>449</v>
      </c>
      <c r="L456" s="4" t="n">
        <v>0</v>
      </c>
      <c r="M456" s="3" t="n">
        <v>0</v>
      </c>
      <c r="N456" s="3" t="n">
        <v>0</v>
      </c>
      <c r="O456" s="3" t="n">
        <f aca="false">K456-M456-N456</f>
        <v>449</v>
      </c>
      <c r="P456" s="4" t="n">
        <v>0.21</v>
      </c>
      <c r="Q456" s="3" t="n">
        <v>371.07</v>
      </c>
      <c r="R456" s="3" t="n">
        <f aca="false">O456-Q456</f>
        <v>77.93</v>
      </c>
      <c r="S456" s="3" t="n">
        <v>360</v>
      </c>
      <c r="T456" s="3" t="n">
        <f aca="false">Q456-S456</f>
        <v>11.07</v>
      </c>
      <c r="U456" s="4" t="n">
        <f aca="false">IF(Q456=0,0,T456/Q456)</f>
        <v>0.0298326461314577</v>
      </c>
      <c r="V456" s="2" t="s">
        <v>126</v>
      </c>
      <c r="W456" s="2" t="s">
        <v>177</v>
      </c>
      <c r="X456" s="2" t="s">
        <v>132</v>
      </c>
    </row>
    <row r="457" customFormat="false" ht="15" hidden="false" customHeight="false" outlineLevel="0" collapsed="false">
      <c r="A457" s="5" t="n">
        <v>456</v>
      </c>
      <c r="B457" s="5" t="s">
        <v>460</v>
      </c>
      <c r="C457" s="13" t="n">
        <v>46149</v>
      </c>
      <c r="D457" s="5" t="s">
        <v>217</v>
      </c>
      <c r="E457" s="5" t="s">
        <v>87</v>
      </c>
      <c r="F457" s="5" t="s">
        <v>88</v>
      </c>
      <c r="G457" s="5" t="s">
        <v>85</v>
      </c>
      <c r="H457" s="5" t="s">
        <v>86</v>
      </c>
      <c r="I457" s="11" t="n">
        <v>1</v>
      </c>
      <c r="J457" s="6" t="n">
        <v>2.49</v>
      </c>
      <c r="K457" s="6" t="n">
        <v>2.49</v>
      </c>
      <c r="L457" s="7" t="n">
        <v>0</v>
      </c>
      <c r="M457" s="6" t="n">
        <v>0</v>
      </c>
      <c r="N457" s="6" t="n">
        <v>0</v>
      </c>
      <c r="O457" s="6" t="n">
        <f aca="false">K457-M457-N457</f>
        <v>2.49</v>
      </c>
      <c r="P457" s="7" t="n">
        <v>0.1</v>
      </c>
      <c r="Q457" s="6" t="n">
        <v>2.26</v>
      </c>
      <c r="R457" s="6" t="n">
        <f aca="false">O457-Q457</f>
        <v>0.23</v>
      </c>
      <c r="S457" s="6" t="n">
        <v>1.5</v>
      </c>
      <c r="T457" s="6" t="n">
        <f aca="false">Q457-S457</f>
        <v>0.76</v>
      </c>
      <c r="U457" s="7" t="n">
        <f aca="false">IF(Q457=0,0,T457/Q457)</f>
        <v>0.336283185840708</v>
      </c>
      <c r="V457" s="5" t="s">
        <v>126</v>
      </c>
      <c r="W457" s="5" t="s">
        <v>177</v>
      </c>
      <c r="X457" s="5" t="s">
        <v>132</v>
      </c>
    </row>
    <row r="458" customFormat="false" ht="15" hidden="false" customHeight="false" outlineLevel="0" collapsed="false">
      <c r="A458" s="2" t="n">
        <v>457</v>
      </c>
      <c r="B458" s="2" t="s">
        <v>461</v>
      </c>
      <c r="C458" s="12" t="n">
        <v>46151</v>
      </c>
      <c r="D458" s="2" t="s">
        <v>173</v>
      </c>
      <c r="E458" s="2" t="s">
        <v>31</v>
      </c>
      <c r="F458" s="2" t="s">
        <v>32</v>
      </c>
      <c r="G458" s="2" t="s">
        <v>33</v>
      </c>
      <c r="H458" s="2" t="s">
        <v>23</v>
      </c>
      <c r="I458" s="9" t="n">
        <v>1</v>
      </c>
      <c r="J458" s="3" t="n">
        <v>89.9</v>
      </c>
      <c r="K458" s="3" t="n">
        <v>89.9</v>
      </c>
      <c r="L458" s="4" t="n">
        <v>0</v>
      </c>
      <c r="M458" s="3" t="n">
        <v>0</v>
      </c>
      <c r="N458" s="3" t="n">
        <v>17.98</v>
      </c>
      <c r="O458" s="3" t="n">
        <f aca="false">K458-M458-N458</f>
        <v>71.92</v>
      </c>
      <c r="P458" s="4" t="n">
        <v>0.21</v>
      </c>
      <c r="Q458" s="3" t="n">
        <v>59.44</v>
      </c>
      <c r="R458" s="3" t="n">
        <f aca="false">O458-Q458</f>
        <v>12.48</v>
      </c>
      <c r="S458" s="3" t="n">
        <v>48</v>
      </c>
      <c r="T458" s="3" t="n">
        <f aca="false">Q458-S458</f>
        <v>11.44</v>
      </c>
      <c r="U458" s="4" t="n">
        <f aca="false">IF(Q458=0,0,T458/Q458)</f>
        <v>0.192462987886945</v>
      </c>
      <c r="V458" s="2" t="s">
        <v>126</v>
      </c>
      <c r="W458" s="2" t="s">
        <v>177</v>
      </c>
      <c r="X458" s="2" t="s">
        <v>176</v>
      </c>
    </row>
    <row r="459" customFormat="false" ht="15" hidden="false" customHeight="false" outlineLevel="0" collapsed="false">
      <c r="A459" s="5" t="n">
        <v>458</v>
      </c>
      <c r="B459" s="5" t="s">
        <v>462</v>
      </c>
      <c r="C459" s="13" t="n">
        <v>46151</v>
      </c>
      <c r="D459" s="5" t="s">
        <v>258</v>
      </c>
      <c r="E459" s="5" t="s">
        <v>89</v>
      </c>
      <c r="F459" s="5" t="s">
        <v>90</v>
      </c>
      <c r="G459" s="5" t="s">
        <v>91</v>
      </c>
      <c r="H459" s="5" t="s">
        <v>86</v>
      </c>
      <c r="I459" s="11" t="n">
        <v>3</v>
      </c>
      <c r="J459" s="6" t="n">
        <v>4.99</v>
      </c>
      <c r="K459" s="6" t="n">
        <v>14.97</v>
      </c>
      <c r="L459" s="7" t="n">
        <v>0</v>
      </c>
      <c r="M459" s="6" t="n">
        <v>0</v>
      </c>
      <c r="N459" s="6" t="n">
        <v>0</v>
      </c>
      <c r="O459" s="6" t="n">
        <f aca="false">K459-M459-N459</f>
        <v>14.97</v>
      </c>
      <c r="P459" s="7" t="n">
        <v>0.1</v>
      </c>
      <c r="Q459" s="6" t="n">
        <v>13.61</v>
      </c>
      <c r="R459" s="6" t="n">
        <f aca="false">O459-Q459</f>
        <v>1.36</v>
      </c>
      <c r="S459" s="6" t="n">
        <v>6.9</v>
      </c>
      <c r="T459" s="6" t="n">
        <f aca="false">Q459-S459</f>
        <v>6.71</v>
      </c>
      <c r="U459" s="7" t="n">
        <f aca="false">IF(Q459=0,0,T459/Q459)</f>
        <v>0.493019838354151</v>
      </c>
      <c r="V459" s="5" t="s">
        <v>138</v>
      </c>
      <c r="W459" s="5" t="s">
        <v>156</v>
      </c>
      <c r="X459" s="5" t="s">
        <v>176</v>
      </c>
    </row>
    <row r="460" customFormat="false" ht="15" hidden="false" customHeight="false" outlineLevel="0" collapsed="false">
      <c r="A460" s="2" t="n">
        <v>459</v>
      </c>
      <c r="B460" s="2" t="s">
        <v>462</v>
      </c>
      <c r="C460" s="12" t="n">
        <v>46151</v>
      </c>
      <c r="D460" s="2" t="s">
        <v>258</v>
      </c>
      <c r="E460" s="2" t="s">
        <v>11</v>
      </c>
      <c r="F460" s="2" t="s">
        <v>12</v>
      </c>
      <c r="G460" s="2" t="s">
        <v>13</v>
      </c>
      <c r="H460" s="2" t="s">
        <v>14</v>
      </c>
      <c r="I460" s="9" t="n">
        <v>1</v>
      </c>
      <c r="J460" s="3" t="n">
        <v>89.9</v>
      </c>
      <c r="K460" s="3" t="n">
        <v>89.9</v>
      </c>
      <c r="L460" s="4" t="n">
        <v>0.05</v>
      </c>
      <c r="M460" s="3" t="n">
        <v>4.5</v>
      </c>
      <c r="N460" s="3" t="n">
        <v>0</v>
      </c>
      <c r="O460" s="3" t="n">
        <f aca="false">K460-M460-N460</f>
        <v>85.4</v>
      </c>
      <c r="P460" s="4" t="n">
        <v>0.21</v>
      </c>
      <c r="Q460" s="3" t="n">
        <v>70.58</v>
      </c>
      <c r="R460" s="3" t="n">
        <f aca="false">O460-Q460</f>
        <v>14.82</v>
      </c>
      <c r="S460" s="3" t="n">
        <v>38.5</v>
      </c>
      <c r="T460" s="3" t="n">
        <f aca="false">Q460-S460</f>
        <v>32.08</v>
      </c>
      <c r="U460" s="4" t="n">
        <f aca="false">IF(Q460=0,0,T460/Q460)</f>
        <v>0.454519693964296</v>
      </c>
      <c r="V460" s="2" t="s">
        <v>138</v>
      </c>
      <c r="W460" s="2" t="s">
        <v>156</v>
      </c>
      <c r="X460" s="2" t="s">
        <v>176</v>
      </c>
    </row>
    <row r="461" customFormat="false" ht="15" hidden="false" customHeight="false" outlineLevel="0" collapsed="false">
      <c r="A461" s="5" t="n">
        <v>460</v>
      </c>
      <c r="B461" s="5" t="s">
        <v>462</v>
      </c>
      <c r="C461" s="13" t="n">
        <v>46151</v>
      </c>
      <c r="D461" s="5" t="s">
        <v>258</v>
      </c>
      <c r="E461" s="5" t="s">
        <v>61</v>
      </c>
      <c r="F461" s="5" t="s">
        <v>62</v>
      </c>
      <c r="G461" s="5" t="s">
        <v>59</v>
      </c>
      <c r="H461" s="5" t="s">
        <v>60</v>
      </c>
      <c r="I461" s="11" t="n">
        <v>1</v>
      </c>
      <c r="J461" s="6" t="n">
        <v>18.9</v>
      </c>
      <c r="K461" s="6" t="n">
        <v>18.9</v>
      </c>
      <c r="L461" s="7" t="n">
        <v>0</v>
      </c>
      <c r="M461" s="6" t="n">
        <v>0</v>
      </c>
      <c r="N461" s="6" t="n">
        <v>0</v>
      </c>
      <c r="O461" s="6" t="n">
        <f aca="false">K461-M461-N461</f>
        <v>18.9</v>
      </c>
      <c r="P461" s="7" t="n">
        <v>0.21</v>
      </c>
      <c r="Q461" s="6" t="n">
        <v>15.62</v>
      </c>
      <c r="R461" s="6" t="n">
        <f aca="false">O461-Q461</f>
        <v>3.28</v>
      </c>
      <c r="S461" s="6" t="n">
        <v>6.5</v>
      </c>
      <c r="T461" s="6" t="n">
        <f aca="false">Q461-S461</f>
        <v>9.12</v>
      </c>
      <c r="U461" s="7" t="n">
        <f aca="false">IF(Q461=0,0,T461/Q461)</f>
        <v>0.583866837387964</v>
      </c>
      <c r="V461" s="5" t="s">
        <v>138</v>
      </c>
      <c r="W461" s="5" t="s">
        <v>156</v>
      </c>
      <c r="X461" s="5" t="s">
        <v>176</v>
      </c>
    </row>
    <row r="462" customFormat="false" ht="15" hidden="false" customHeight="false" outlineLevel="0" collapsed="false">
      <c r="A462" s="2" t="n">
        <v>461</v>
      </c>
      <c r="B462" s="2" t="s">
        <v>463</v>
      </c>
      <c r="C462" s="12" t="n">
        <v>46152</v>
      </c>
      <c r="D462" s="2" t="s">
        <v>139</v>
      </c>
      <c r="E462" s="2" t="s">
        <v>89</v>
      </c>
      <c r="F462" s="2" t="s">
        <v>90</v>
      </c>
      <c r="G462" s="2" t="s">
        <v>91</v>
      </c>
      <c r="H462" s="2" t="s">
        <v>86</v>
      </c>
      <c r="I462" s="9" t="n">
        <v>8</v>
      </c>
      <c r="J462" s="3" t="n">
        <v>4.99</v>
      </c>
      <c r="K462" s="3" t="n">
        <v>39.92</v>
      </c>
      <c r="L462" s="4" t="n">
        <v>0.15</v>
      </c>
      <c r="M462" s="3" t="n">
        <v>5.99</v>
      </c>
      <c r="N462" s="3" t="n">
        <v>0</v>
      </c>
      <c r="O462" s="3" t="n">
        <f aca="false">K462-M462-N462</f>
        <v>33.93</v>
      </c>
      <c r="P462" s="4" t="n">
        <v>0.1</v>
      </c>
      <c r="Q462" s="3" t="n">
        <v>30.85</v>
      </c>
      <c r="R462" s="3" t="n">
        <f aca="false">O462-Q462</f>
        <v>3.08</v>
      </c>
      <c r="S462" s="3" t="n">
        <v>18.4</v>
      </c>
      <c r="T462" s="3" t="n">
        <f aca="false">Q462-S462</f>
        <v>12.45</v>
      </c>
      <c r="U462" s="4" t="n">
        <f aca="false">IF(Q462=0,0,T462/Q462)</f>
        <v>0.40356564019449</v>
      </c>
      <c r="V462" s="2" t="s">
        <v>148</v>
      </c>
      <c r="W462" s="2" t="s">
        <v>136</v>
      </c>
      <c r="X462" s="2" t="s">
        <v>185</v>
      </c>
    </row>
    <row r="463" customFormat="false" ht="15" hidden="false" customHeight="false" outlineLevel="0" collapsed="false">
      <c r="A463" s="5" t="n">
        <v>462</v>
      </c>
      <c r="B463" s="5" t="s">
        <v>463</v>
      </c>
      <c r="C463" s="13" t="n">
        <v>46152</v>
      </c>
      <c r="D463" s="5" t="s">
        <v>139</v>
      </c>
      <c r="E463" s="5" t="s">
        <v>24</v>
      </c>
      <c r="F463" s="5" t="s">
        <v>25</v>
      </c>
      <c r="G463" s="5" t="s">
        <v>22</v>
      </c>
      <c r="H463" s="5" t="s">
        <v>23</v>
      </c>
      <c r="I463" s="11" t="n">
        <v>2</v>
      </c>
      <c r="J463" s="6" t="n">
        <v>24.9</v>
      </c>
      <c r="K463" s="6" t="n">
        <v>49.8</v>
      </c>
      <c r="L463" s="7" t="n">
        <v>0</v>
      </c>
      <c r="M463" s="6" t="n">
        <v>0</v>
      </c>
      <c r="N463" s="6" t="n">
        <v>0</v>
      </c>
      <c r="O463" s="6" t="n">
        <f aca="false">K463-M463-N463</f>
        <v>49.8</v>
      </c>
      <c r="P463" s="7" t="n">
        <v>0.21</v>
      </c>
      <c r="Q463" s="6" t="n">
        <v>41.16</v>
      </c>
      <c r="R463" s="6" t="n">
        <f aca="false">O463-Q463</f>
        <v>8.64</v>
      </c>
      <c r="S463" s="6" t="n">
        <v>19.6</v>
      </c>
      <c r="T463" s="6" t="n">
        <f aca="false">Q463-S463</f>
        <v>21.56</v>
      </c>
      <c r="U463" s="7" t="n">
        <f aca="false">IF(Q463=0,0,T463/Q463)</f>
        <v>0.523809523809524</v>
      </c>
      <c r="V463" s="5" t="s">
        <v>148</v>
      </c>
      <c r="W463" s="5" t="s">
        <v>136</v>
      </c>
      <c r="X463" s="5" t="s">
        <v>185</v>
      </c>
    </row>
    <row r="464" customFormat="false" ht="15" hidden="false" customHeight="false" outlineLevel="0" collapsed="false">
      <c r="A464" s="2" t="n">
        <v>463</v>
      </c>
      <c r="B464" s="2" t="s">
        <v>463</v>
      </c>
      <c r="C464" s="12" t="n">
        <v>46152</v>
      </c>
      <c r="D464" s="2" t="s">
        <v>139</v>
      </c>
      <c r="E464" s="2" t="s">
        <v>11</v>
      </c>
      <c r="F464" s="2" t="s">
        <v>12</v>
      </c>
      <c r="G464" s="2" t="s">
        <v>13</v>
      </c>
      <c r="H464" s="2" t="s">
        <v>14</v>
      </c>
      <c r="I464" s="9" t="n">
        <v>2</v>
      </c>
      <c r="J464" s="3" t="n">
        <v>89.9</v>
      </c>
      <c r="K464" s="3" t="n">
        <v>179.8</v>
      </c>
      <c r="L464" s="4" t="n">
        <v>0.05</v>
      </c>
      <c r="M464" s="3" t="n">
        <v>8.99</v>
      </c>
      <c r="N464" s="3" t="n">
        <v>0</v>
      </c>
      <c r="O464" s="3" t="n">
        <f aca="false">K464-M464-N464</f>
        <v>170.81</v>
      </c>
      <c r="P464" s="4" t="n">
        <v>0.21</v>
      </c>
      <c r="Q464" s="3" t="n">
        <v>141.17</v>
      </c>
      <c r="R464" s="3" t="n">
        <f aca="false">O464-Q464</f>
        <v>29.64</v>
      </c>
      <c r="S464" s="3" t="n">
        <v>77</v>
      </c>
      <c r="T464" s="3" t="n">
        <f aca="false">Q464-S464</f>
        <v>64.17</v>
      </c>
      <c r="U464" s="4" t="n">
        <f aca="false">IF(Q464=0,0,T464/Q464)</f>
        <v>0.454558333923638</v>
      </c>
      <c r="V464" s="2" t="s">
        <v>148</v>
      </c>
      <c r="W464" s="2" t="s">
        <v>136</v>
      </c>
      <c r="X464" s="2" t="s">
        <v>185</v>
      </c>
    </row>
    <row r="465" customFormat="false" ht="15" hidden="false" customHeight="false" outlineLevel="0" collapsed="false">
      <c r="A465" s="5" t="n">
        <v>464</v>
      </c>
      <c r="B465" s="5" t="s">
        <v>464</v>
      </c>
      <c r="C465" s="13" t="n">
        <v>46154</v>
      </c>
      <c r="D465" s="5" t="s">
        <v>258</v>
      </c>
      <c r="E465" s="5" t="s">
        <v>57</v>
      </c>
      <c r="F465" s="5" t="s">
        <v>58</v>
      </c>
      <c r="G465" s="5" t="s">
        <v>59</v>
      </c>
      <c r="H465" s="5" t="s">
        <v>60</v>
      </c>
      <c r="I465" s="11" t="n">
        <v>1</v>
      </c>
      <c r="J465" s="6" t="n">
        <v>39.9</v>
      </c>
      <c r="K465" s="6" t="n">
        <v>39.9</v>
      </c>
      <c r="L465" s="7" t="n">
        <v>0</v>
      </c>
      <c r="M465" s="6" t="n">
        <v>0</v>
      </c>
      <c r="N465" s="6" t="n">
        <v>0</v>
      </c>
      <c r="O465" s="6" t="n">
        <f aca="false">K465-M465-N465</f>
        <v>39.9</v>
      </c>
      <c r="P465" s="7" t="n">
        <v>0.21</v>
      </c>
      <c r="Q465" s="6" t="n">
        <v>32.98</v>
      </c>
      <c r="R465" s="6" t="n">
        <f aca="false">O465-Q465</f>
        <v>6.92</v>
      </c>
      <c r="S465" s="6" t="n">
        <v>16</v>
      </c>
      <c r="T465" s="6" t="n">
        <f aca="false">Q465-S465</f>
        <v>16.98</v>
      </c>
      <c r="U465" s="7" t="n">
        <f aca="false">IF(Q465=0,0,T465/Q465)</f>
        <v>0.514857489387508</v>
      </c>
      <c r="V465" s="5" t="s">
        <v>148</v>
      </c>
      <c r="W465" s="5" t="s">
        <v>156</v>
      </c>
      <c r="X465" s="5" t="s">
        <v>132</v>
      </c>
    </row>
    <row r="466" customFormat="false" ht="15" hidden="false" customHeight="false" outlineLevel="0" collapsed="false">
      <c r="A466" s="2" t="n">
        <v>465</v>
      </c>
      <c r="B466" s="2" t="s">
        <v>464</v>
      </c>
      <c r="C466" s="12" t="n">
        <v>46154</v>
      </c>
      <c r="D466" s="2" t="s">
        <v>258</v>
      </c>
      <c r="E466" s="2" t="s">
        <v>45</v>
      </c>
      <c r="F466" s="2" t="s">
        <v>46</v>
      </c>
      <c r="G466" s="2" t="s">
        <v>38</v>
      </c>
      <c r="H466" s="2" t="s">
        <v>39</v>
      </c>
      <c r="I466" s="9" t="n">
        <v>2</v>
      </c>
      <c r="J466" s="3" t="n">
        <v>79.9</v>
      </c>
      <c r="K466" s="3" t="n">
        <v>159.8</v>
      </c>
      <c r="L466" s="4" t="n">
        <v>0</v>
      </c>
      <c r="M466" s="3" t="n">
        <v>0</v>
      </c>
      <c r="N466" s="3" t="n">
        <v>0</v>
      </c>
      <c r="O466" s="3" t="n">
        <f aca="false">K466-M466-N466</f>
        <v>159.8</v>
      </c>
      <c r="P466" s="4" t="n">
        <v>0.21</v>
      </c>
      <c r="Q466" s="3" t="n">
        <v>132.07</v>
      </c>
      <c r="R466" s="3" t="n">
        <f aca="false">O466-Q466</f>
        <v>27.73</v>
      </c>
      <c r="S466" s="3" t="n">
        <v>64</v>
      </c>
      <c r="T466" s="3" t="n">
        <f aca="false">Q466-S466</f>
        <v>68.07</v>
      </c>
      <c r="U466" s="4" t="n">
        <f aca="false">IF(Q466=0,0,T466/Q466)</f>
        <v>0.515408495494813</v>
      </c>
      <c r="V466" s="2" t="s">
        <v>148</v>
      </c>
      <c r="W466" s="2" t="s">
        <v>156</v>
      </c>
      <c r="X466" s="2" t="s">
        <v>132</v>
      </c>
    </row>
    <row r="467" customFormat="false" ht="15" hidden="false" customHeight="false" outlineLevel="0" collapsed="false">
      <c r="A467" s="5" t="n">
        <v>466</v>
      </c>
      <c r="B467" s="5" t="s">
        <v>465</v>
      </c>
      <c r="C467" s="13" t="n">
        <v>46154</v>
      </c>
      <c r="D467" s="5" t="s">
        <v>127</v>
      </c>
      <c r="E467" s="5" t="s">
        <v>89</v>
      </c>
      <c r="F467" s="5" t="s">
        <v>90</v>
      </c>
      <c r="G467" s="5" t="s">
        <v>91</v>
      </c>
      <c r="H467" s="5" t="s">
        <v>86</v>
      </c>
      <c r="I467" s="11" t="n">
        <v>5</v>
      </c>
      <c r="J467" s="6" t="n">
        <v>4.99</v>
      </c>
      <c r="K467" s="6" t="n">
        <v>24.95</v>
      </c>
      <c r="L467" s="7" t="n">
        <v>0.1</v>
      </c>
      <c r="M467" s="6" t="n">
        <v>2.5</v>
      </c>
      <c r="N467" s="6" t="n">
        <v>0</v>
      </c>
      <c r="O467" s="6" t="n">
        <f aca="false">K467-M467-N467</f>
        <v>22.45</v>
      </c>
      <c r="P467" s="7" t="n">
        <v>0.1</v>
      </c>
      <c r="Q467" s="6" t="n">
        <v>20.41</v>
      </c>
      <c r="R467" s="6" t="n">
        <f aca="false">O467-Q467</f>
        <v>2.04</v>
      </c>
      <c r="S467" s="6" t="n">
        <v>11.5</v>
      </c>
      <c r="T467" s="6" t="n">
        <f aca="false">Q467-S467</f>
        <v>8.91</v>
      </c>
      <c r="U467" s="7" t="n">
        <f aca="false">IF(Q467=0,0,T467/Q467)</f>
        <v>0.436550710436061</v>
      </c>
      <c r="V467" s="5" t="s">
        <v>193</v>
      </c>
      <c r="W467" s="5" t="s">
        <v>177</v>
      </c>
      <c r="X467" s="5" t="s">
        <v>185</v>
      </c>
    </row>
    <row r="468" customFormat="false" ht="15" hidden="false" customHeight="false" outlineLevel="0" collapsed="false">
      <c r="A468" s="2" t="n">
        <v>467</v>
      </c>
      <c r="B468" s="2" t="s">
        <v>466</v>
      </c>
      <c r="C468" s="12" t="n">
        <v>46156</v>
      </c>
      <c r="D468" s="2" t="s">
        <v>127</v>
      </c>
      <c r="E468" s="2" t="s">
        <v>98</v>
      </c>
      <c r="F468" s="2" t="s">
        <v>99</v>
      </c>
      <c r="G468" s="2" t="s">
        <v>94</v>
      </c>
      <c r="H468" s="2" t="s">
        <v>95</v>
      </c>
      <c r="I468" s="9" t="n">
        <v>1</v>
      </c>
      <c r="J468" s="3" t="n">
        <v>2.99</v>
      </c>
      <c r="K468" s="3" t="n">
        <v>2.99</v>
      </c>
      <c r="L468" s="4" t="n">
        <v>0</v>
      </c>
      <c r="M468" s="3" t="n">
        <v>0</v>
      </c>
      <c r="N468" s="3" t="n">
        <v>0</v>
      </c>
      <c r="O468" s="3" t="n">
        <f aca="false">K468-M468-N468</f>
        <v>2.99</v>
      </c>
      <c r="P468" s="4" t="n">
        <v>0.1</v>
      </c>
      <c r="Q468" s="3" t="n">
        <v>2.72</v>
      </c>
      <c r="R468" s="3" t="n">
        <f aca="false">O468-Q468</f>
        <v>0.27</v>
      </c>
      <c r="S468" s="3" t="n">
        <v>1.2</v>
      </c>
      <c r="T468" s="3" t="n">
        <f aca="false">Q468-S468</f>
        <v>1.52</v>
      </c>
      <c r="U468" s="4" t="n">
        <f aca="false">IF(Q468=0,0,T468/Q468)</f>
        <v>0.558823529411765</v>
      </c>
      <c r="V468" s="2" t="s">
        <v>126</v>
      </c>
      <c r="W468" s="2" t="s">
        <v>136</v>
      </c>
      <c r="X468" s="2" t="s">
        <v>132</v>
      </c>
    </row>
    <row r="469" customFormat="false" ht="15" hidden="false" customHeight="false" outlineLevel="0" collapsed="false">
      <c r="A469" s="5" t="n">
        <v>468</v>
      </c>
      <c r="B469" s="5" t="s">
        <v>466</v>
      </c>
      <c r="C469" s="13" t="n">
        <v>46156</v>
      </c>
      <c r="D469" s="5" t="s">
        <v>127</v>
      </c>
      <c r="E469" s="5" t="s">
        <v>26</v>
      </c>
      <c r="F469" s="5" t="s">
        <v>27</v>
      </c>
      <c r="G469" s="5" t="s">
        <v>22</v>
      </c>
      <c r="H469" s="5" t="s">
        <v>23</v>
      </c>
      <c r="I469" s="11" t="n">
        <v>1</v>
      </c>
      <c r="J469" s="6" t="n">
        <v>79.9</v>
      </c>
      <c r="K469" s="6" t="n">
        <v>79.9</v>
      </c>
      <c r="L469" s="7" t="n">
        <v>0.05</v>
      </c>
      <c r="M469" s="6" t="n">
        <v>4</v>
      </c>
      <c r="N469" s="6" t="n">
        <v>0</v>
      </c>
      <c r="O469" s="6" t="n">
        <f aca="false">K469-M469-N469</f>
        <v>75.9</v>
      </c>
      <c r="P469" s="7" t="n">
        <v>0.21</v>
      </c>
      <c r="Q469" s="6" t="n">
        <v>62.73</v>
      </c>
      <c r="R469" s="6" t="n">
        <f aca="false">O469-Q469</f>
        <v>13.17</v>
      </c>
      <c r="S469" s="6" t="n">
        <v>34</v>
      </c>
      <c r="T469" s="6" t="n">
        <f aca="false">Q469-S469</f>
        <v>28.73</v>
      </c>
      <c r="U469" s="7" t="n">
        <f aca="false">IF(Q469=0,0,T469/Q469)</f>
        <v>0.457994579945799</v>
      </c>
      <c r="V469" s="5" t="s">
        <v>126</v>
      </c>
      <c r="W469" s="5" t="s">
        <v>136</v>
      </c>
      <c r="X469" s="5" t="s">
        <v>132</v>
      </c>
    </row>
    <row r="470" customFormat="false" ht="15" hidden="false" customHeight="false" outlineLevel="0" collapsed="false">
      <c r="A470" s="2" t="n">
        <v>469</v>
      </c>
      <c r="B470" s="2" t="s">
        <v>467</v>
      </c>
      <c r="C470" s="12" t="n">
        <v>46158</v>
      </c>
      <c r="D470" s="2" t="s">
        <v>173</v>
      </c>
      <c r="E470" s="2" t="s">
        <v>18</v>
      </c>
      <c r="F470" s="2" t="s">
        <v>19</v>
      </c>
      <c r="G470" s="2" t="s">
        <v>13</v>
      </c>
      <c r="H470" s="2" t="s">
        <v>14</v>
      </c>
      <c r="I470" s="9" t="n">
        <v>4</v>
      </c>
      <c r="J470" s="3" t="n">
        <v>199</v>
      </c>
      <c r="K470" s="3" t="n">
        <v>796</v>
      </c>
      <c r="L470" s="4" t="n">
        <v>0.1</v>
      </c>
      <c r="M470" s="3" t="n">
        <v>79.6</v>
      </c>
      <c r="N470" s="3" t="n">
        <v>0</v>
      </c>
      <c r="O470" s="3" t="n">
        <f aca="false">K470-M470-N470</f>
        <v>716.4</v>
      </c>
      <c r="P470" s="4" t="n">
        <v>0.21</v>
      </c>
      <c r="Q470" s="3" t="n">
        <v>592.07</v>
      </c>
      <c r="R470" s="3" t="n">
        <f aca="false">O470-Q470</f>
        <v>124.33</v>
      </c>
      <c r="S470" s="3" t="n">
        <v>380</v>
      </c>
      <c r="T470" s="3" t="n">
        <f aca="false">Q470-S470</f>
        <v>212.07</v>
      </c>
      <c r="U470" s="4" t="n">
        <f aca="false">IF(Q470=0,0,T470/Q470)</f>
        <v>0.358183998513689</v>
      </c>
      <c r="V470" s="2" t="s">
        <v>126</v>
      </c>
      <c r="W470" s="2" t="s">
        <v>154</v>
      </c>
      <c r="X470" s="2" t="s">
        <v>132</v>
      </c>
    </row>
    <row r="471" customFormat="false" ht="15" hidden="false" customHeight="false" outlineLevel="0" collapsed="false">
      <c r="A471" s="5" t="n">
        <v>470</v>
      </c>
      <c r="B471" s="5" t="s">
        <v>468</v>
      </c>
      <c r="C471" s="13" t="n">
        <v>46158</v>
      </c>
      <c r="D471" s="5" t="s">
        <v>223</v>
      </c>
      <c r="E471" s="5" t="s">
        <v>24</v>
      </c>
      <c r="F471" s="5" t="s">
        <v>25</v>
      </c>
      <c r="G471" s="5" t="s">
        <v>22</v>
      </c>
      <c r="H471" s="5" t="s">
        <v>23</v>
      </c>
      <c r="I471" s="11" t="n">
        <v>1</v>
      </c>
      <c r="J471" s="6" t="n">
        <v>24.9</v>
      </c>
      <c r="K471" s="6" t="n">
        <v>24.9</v>
      </c>
      <c r="L471" s="7" t="n">
        <v>0.05</v>
      </c>
      <c r="M471" s="6" t="n">
        <v>1.24</v>
      </c>
      <c r="N471" s="6" t="n">
        <v>2.37</v>
      </c>
      <c r="O471" s="6" t="n">
        <f aca="false">K471-M471-N471</f>
        <v>21.29</v>
      </c>
      <c r="P471" s="7" t="n">
        <v>0.21</v>
      </c>
      <c r="Q471" s="6" t="n">
        <v>17.6</v>
      </c>
      <c r="R471" s="6" t="n">
        <f aca="false">O471-Q471</f>
        <v>3.69</v>
      </c>
      <c r="S471" s="6" t="n">
        <v>9.8</v>
      </c>
      <c r="T471" s="6" t="n">
        <f aca="false">Q471-S471</f>
        <v>7.8</v>
      </c>
      <c r="U471" s="7" t="n">
        <f aca="false">IF(Q471=0,0,T471/Q471)</f>
        <v>0.443181818181818</v>
      </c>
      <c r="V471" s="5" t="s">
        <v>138</v>
      </c>
      <c r="W471" s="5" t="s">
        <v>136</v>
      </c>
      <c r="X471" s="5" t="s">
        <v>132</v>
      </c>
    </row>
    <row r="472" customFormat="false" ht="15" hidden="false" customHeight="false" outlineLevel="0" collapsed="false">
      <c r="A472" s="2" t="n">
        <v>471</v>
      </c>
      <c r="B472" s="2" t="s">
        <v>469</v>
      </c>
      <c r="C472" s="12" t="n">
        <v>46159</v>
      </c>
      <c r="D472" s="2" t="s">
        <v>127</v>
      </c>
      <c r="E472" s="2" t="s">
        <v>20</v>
      </c>
      <c r="F472" s="2" t="s">
        <v>21</v>
      </c>
      <c r="G472" s="2" t="s">
        <v>22</v>
      </c>
      <c r="H472" s="2" t="s">
        <v>23</v>
      </c>
      <c r="I472" s="9" t="n">
        <v>6</v>
      </c>
      <c r="J472" s="3" t="n">
        <v>799</v>
      </c>
      <c r="K472" s="3" t="n">
        <v>4794</v>
      </c>
      <c r="L472" s="4" t="n">
        <v>0</v>
      </c>
      <c r="M472" s="3" t="n">
        <v>0</v>
      </c>
      <c r="N472" s="3" t="n">
        <v>719.1</v>
      </c>
      <c r="O472" s="3" t="n">
        <f aca="false">K472-M472-N472</f>
        <v>4074.9</v>
      </c>
      <c r="P472" s="4" t="n">
        <v>0.21</v>
      </c>
      <c r="Q472" s="3" t="n">
        <v>3367.69</v>
      </c>
      <c r="R472" s="3" t="n">
        <f aca="false">O472-Q472</f>
        <v>707.21</v>
      </c>
      <c r="S472" s="3" t="n">
        <v>3300</v>
      </c>
      <c r="T472" s="3" t="n">
        <f aca="false">Q472-S472</f>
        <v>67.6900000000001</v>
      </c>
      <c r="U472" s="4" t="n">
        <f aca="false">IF(Q472=0,0,T472/Q472)</f>
        <v>0.0200998310414557</v>
      </c>
      <c r="V472" s="2" t="s">
        <v>126</v>
      </c>
      <c r="W472" s="2" t="s">
        <v>154</v>
      </c>
      <c r="X472" s="2" t="s">
        <v>132</v>
      </c>
    </row>
    <row r="473" customFormat="false" ht="15" hidden="false" customHeight="false" outlineLevel="0" collapsed="false">
      <c r="A473" s="5" t="n">
        <v>472</v>
      </c>
      <c r="B473" s="5" t="s">
        <v>470</v>
      </c>
      <c r="C473" s="13" t="n">
        <v>46160</v>
      </c>
      <c r="D473" s="5" t="s">
        <v>127</v>
      </c>
      <c r="E473" s="5" t="s">
        <v>26</v>
      </c>
      <c r="F473" s="5" t="s">
        <v>27</v>
      </c>
      <c r="G473" s="5" t="s">
        <v>22</v>
      </c>
      <c r="H473" s="5" t="s">
        <v>23</v>
      </c>
      <c r="I473" s="11" t="n">
        <v>2</v>
      </c>
      <c r="J473" s="6" t="n">
        <v>79.9</v>
      </c>
      <c r="K473" s="6" t="n">
        <v>159.8</v>
      </c>
      <c r="L473" s="7" t="n">
        <v>0</v>
      </c>
      <c r="M473" s="6" t="n">
        <v>0</v>
      </c>
      <c r="N473" s="6" t="n">
        <v>0</v>
      </c>
      <c r="O473" s="6" t="n">
        <f aca="false">K473-M473-N473</f>
        <v>159.8</v>
      </c>
      <c r="P473" s="7" t="n">
        <v>0.21</v>
      </c>
      <c r="Q473" s="6" t="n">
        <v>132.07</v>
      </c>
      <c r="R473" s="6" t="n">
        <f aca="false">O473-Q473</f>
        <v>27.73</v>
      </c>
      <c r="S473" s="6" t="n">
        <v>68</v>
      </c>
      <c r="T473" s="6" t="n">
        <f aca="false">Q473-S473</f>
        <v>64.07</v>
      </c>
      <c r="U473" s="7" t="n">
        <f aca="false">IF(Q473=0,0,T473/Q473)</f>
        <v>0.485121526463239</v>
      </c>
      <c r="V473" s="5" t="s">
        <v>193</v>
      </c>
      <c r="W473" s="5" t="s">
        <v>136</v>
      </c>
      <c r="X473" s="5" t="s">
        <v>231</v>
      </c>
    </row>
    <row r="474" customFormat="false" ht="15" hidden="false" customHeight="false" outlineLevel="0" collapsed="false">
      <c r="A474" s="2" t="n">
        <v>473</v>
      </c>
      <c r="B474" s="2" t="s">
        <v>470</v>
      </c>
      <c r="C474" s="12" t="n">
        <v>46160</v>
      </c>
      <c r="D474" s="2" t="s">
        <v>127</v>
      </c>
      <c r="E474" s="2" t="s">
        <v>16</v>
      </c>
      <c r="F474" s="2" t="s">
        <v>17</v>
      </c>
      <c r="G474" s="2" t="s">
        <v>13</v>
      </c>
      <c r="H474" s="2" t="s">
        <v>14</v>
      </c>
      <c r="I474" s="9" t="n">
        <v>2</v>
      </c>
      <c r="J474" s="3" t="n">
        <v>54.9</v>
      </c>
      <c r="K474" s="3" t="n">
        <v>109.8</v>
      </c>
      <c r="L474" s="4" t="n">
        <v>0</v>
      </c>
      <c r="M474" s="3" t="n">
        <v>0</v>
      </c>
      <c r="N474" s="3" t="n">
        <v>0</v>
      </c>
      <c r="O474" s="3" t="n">
        <f aca="false">K474-M474-N474</f>
        <v>109.8</v>
      </c>
      <c r="P474" s="4" t="n">
        <v>0.21</v>
      </c>
      <c r="Q474" s="3" t="n">
        <v>90.74</v>
      </c>
      <c r="R474" s="3" t="n">
        <f aca="false">O474-Q474</f>
        <v>19.06</v>
      </c>
      <c r="S474" s="3" t="n">
        <v>44</v>
      </c>
      <c r="T474" s="3" t="n">
        <f aca="false">Q474-S474</f>
        <v>46.74</v>
      </c>
      <c r="U474" s="4" t="n">
        <f aca="false">IF(Q474=0,0,T474/Q474)</f>
        <v>0.515098082433326</v>
      </c>
      <c r="V474" s="2" t="s">
        <v>193</v>
      </c>
      <c r="W474" s="2" t="s">
        <v>136</v>
      </c>
      <c r="X474" s="2" t="s">
        <v>231</v>
      </c>
    </row>
    <row r="475" customFormat="false" ht="15" hidden="false" customHeight="false" outlineLevel="0" collapsed="false">
      <c r="A475" s="5" t="n">
        <v>474</v>
      </c>
      <c r="B475" s="5" t="s">
        <v>470</v>
      </c>
      <c r="C475" s="13" t="n">
        <v>46160</v>
      </c>
      <c r="D475" s="5" t="s">
        <v>127</v>
      </c>
      <c r="E475" s="5" t="s">
        <v>42</v>
      </c>
      <c r="F475" s="5" t="s">
        <v>43</v>
      </c>
      <c r="G475" s="5" t="s">
        <v>44</v>
      </c>
      <c r="H475" s="5" t="s">
        <v>39</v>
      </c>
      <c r="I475" s="11" t="n">
        <v>1</v>
      </c>
      <c r="J475" s="6" t="n">
        <v>24.9</v>
      </c>
      <c r="K475" s="6" t="n">
        <v>24.9</v>
      </c>
      <c r="L475" s="7" t="n">
        <v>0.25</v>
      </c>
      <c r="M475" s="6" t="n">
        <v>6.22</v>
      </c>
      <c r="N475" s="6" t="n">
        <v>0</v>
      </c>
      <c r="O475" s="6" t="n">
        <f aca="false">K475-M475-N475</f>
        <v>18.68</v>
      </c>
      <c r="P475" s="7" t="n">
        <v>0.21</v>
      </c>
      <c r="Q475" s="6" t="n">
        <v>15.44</v>
      </c>
      <c r="R475" s="6" t="n">
        <f aca="false">O475-Q475</f>
        <v>3.24</v>
      </c>
      <c r="S475" s="6" t="n">
        <v>8.5</v>
      </c>
      <c r="T475" s="6" t="n">
        <f aca="false">Q475-S475</f>
        <v>6.94</v>
      </c>
      <c r="U475" s="7" t="n">
        <f aca="false">IF(Q475=0,0,T475/Q475)</f>
        <v>0.449481865284974</v>
      </c>
      <c r="V475" s="5" t="s">
        <v>193</v>
      </c>
      <c r="W475" s="5" t="s">
        <v>136</v>
      </c>
      <c r="X475" s="5" t="s">
        <v>231</v>
      </c>
    </row>
    <row r="476" customFormat="false" ht="15" hidden="false" customHeight="false" outlineLevel="0" collapsed="false">
      <c r="A476" s="2" t="n">
        <v>475</v>
      </c>
      <c r="B476" s="2" t="s">
        <v>470</v>
      </c>
      <c r="C476" s="12" t="n">
        <v>46160</v>
      </c>
      <c r="D476" s="2" t="s">
        <v>127</v>
      </c>
      <c r="E476" s="2" t="s">
        <v>69</v>
      </c>
      <c r="F476" s="2" t="s">
        <v>70</v>
      </c>
      <c r="G476" s="2" t="s">
        <v>71</v>
      </c>
      <c r="H476" s="2" t="s">
        <v>72</v>
      </c>
      <c r="I476" s="9" t="n">
        <v>1</v>
      </c>
      <c r="J476" s="3" t="n">
        <v>22.9</v>
      </c>
      <c r="K476" s="3" t="n">
        <v>22.9</v>
      </c>
      <c r="L476" s="4" t="n">
        <v>0.15</v>
      </c>
      <c r="M476" s="3" t="n">
        <v>3.44</v>
      </c>
      <c r="N476" s="3" t="n">
        <v>0</v>
      </c>
      <c r="O476" s="3" t="n">
        <f aca="false">K476-M476-N476</f>
        <v>19.46</v>
      </c>
      <c r="P476" s="4" t="n">
        <v>0.21</v>
      </c>
      <c r="Q476" s="3" t="n">
        <v>16.08</v>
      </c>
      <c r="R476" s="3" t="n">
        <f aca="false">O476-Q476</f>
        <v>3.38</v>
      </c>
      <c r="S476" s="3" t="n">
        <v>8</v>
      </c>
      <c r="T476" s="3" t="n">
        <f aca="false">Q476-S476</f>
        <v>8.08</v>
      </c>
      <c r="U476" s="4" t="n">
        <f aca="false">IF(Q476=0,0,T476/Q476)</f>
        <v>0.502487562189055</v>
      </c>
      <c r="V476" s="2" t="s">
        <v>193</v>
      </c>
      <c r="W476" s="2" t="s">
        <v>136</v>
      </c>
      <c r="X476" s="2" t="s">
        <v>231</v>
      </c>
    </row>
    <row r="477" customFormat="false" ht="15" hidden="false" customHeight="false" outlineLevel="0" collapsed="false">
      <c r="A477" s="5" t="n">
        <v>476</v>
      </c>
      <c r="B477" s="5" t="s">
        <v>471</v>
      </c>
      <c r="C477" s="13" t="n">
        <v>46160</v>
      </c>
      <c r="D477" s="5" t="s">
        <v>202</v>
      </c>
      <c r="E477" s="5" t="s">
        <v>49</v>
      </c>
      <c r="F477" s="5" t="s">
        <v>50</v>
      </c>
      <c r="G477" s="5" t="s">
        <v>51</v>
      </c>
      <c r="H477" s="5" t="s">
        <v>52</v>
      </c>
      <c r="I477" s="11" t="n">
        <v>1</v>
      </c>
      <c r="J477" s="6" t="n">
        <v>19.9</v>
      </c>
      <c r="K477" s="6" t="n">
        <v>19.9</v>
      </c>
      <c r="L477" s="7" t="n">
        <v>0.1</v>
      </c>
      <c r="M477" s="6" t="n">
        <v>1.99</v>
      </c>
      <c r="N477" s="6" t="n">
        <v>0</v>
      </c>
      <c r="O477" s="6" t="n">
        <f aca="false">K477-M477-N477</f>
        <v>17.91</v>
      </c>
      <c r="P477" s="7" t="n">
        <v>0.21</v>
      </c>
      <c r="Q477" s="6" t="n">
        <v>14.8</v>
      </c>
      <c r="R477" s="6" t="n">
        <f aca="false">O477-Q477</f>
        <v>3.11</v>
      </c>
      <c r="S477" s="6" t="n">
        <v>7.9</v>
      </c>
      <c r="T477" s="6" t="n">
        <f aca="false">Q477-S477</f>
        <v>6.9</v>
      </c>
      <c r="U477" s="7" t="n">
        <f aca="false">IF(Q477=0,0,T477/Q477)</f>
        <v>0.466216216216216</v>
      </c>
      <c r="V477" s="5" t="s">
        <v>126</v>
      </c>
      <c r="W477" s="5" t="s">
        <v>177</v>
      </c>
      <c r="X477" s="5" t="s">
        <v>132</v>
      </c>
    </row>
    <row r="478" customFormat="false" ht="15" hidden="false" customHeight="false" outlineLevel="0" collapsed="false">
      <c r="A478" s="2" t="n">
        <v>477</v>
      </c>
      <c r="B478" s="2" t="s">
        <v>472</v>
      </c>
      <c r="C478" s="12" t="n">
        <v>46163</v>
      </c>
      <c r="D478" s="2" t="s">
        <v>188</v>
      </c>
      <c r="E478" s="2" t="s">
        <v>34</v>
      </c>
      <c r="F478" s="2" t="s">
        <v>35</v>
      </c>
      <c r="G478" s="2" t="s">
        <v>30</v>
      </c>
      <c r="H478" s="2" t="s">
        <v>23</v>
      </c>
      <c r="I478" s="9" t="n">
        <v>1</v>
      </c>
      <c r="J478" s="3" t="n">
        <v>44.9</v>
      </c>
      <c r="K478" s="3" t="n">
        <v>44.9</v>
      </c>
      <c r="L478" s="4" t="n">
        <v>0.1</v>
      </c>
      <c r="M478" s="3" t="n">
        <v>4.49</v>
      </c>
      <c r="N478" s="3" t="n">
        <v>0</v>
      </c>
      <c r="O478" s="3" t="n">
        <f aca="false">K478-M478-N478</f>
        <v>40.41</v>
      </c>
      <c r="P478" s="4" t="n">
        <v>0.21</v>
      </c>
      <c r="Q478" s="3" t="n">
        <v>33.4</v>
      </c>
      <c r="R478" s="3" t="n">
        <f aca="false">O478-Q478</f>
        <v>7.01</v>
      </c>
      <c r="S478" s="3" t="n">
        <v>19</v>
      </c>
      <c r="T478" s="3" t="n">
        <f aca="false">Q478-S478</f>
        <v>14.4</v>
      </c>
      <c r="U478" s="4" t="n">
        <f aca="false">IF(Q478=0,0,T478/Q478)</f>
        <v>0.431137724550898</v>
      </c>
      <c r="V478" s="2" t="s">
        <v>126</v>
      </c>
      <c r="W478" s="2" t="s">
        <v>177</v>
      </c>
      <c r="X478" s="2" t="s">
        <v>132</v>
      </c>
    </row>
    <row r="479" customFormat="false" ht="15" hidden="false" customHeight="false" outlineLevel="0" collapsed="false">
      <c r="A479" s="5" t="n">
        <v>478</v>
      </c>
      <c r="B479" s="5" t="s">
        <v>473</v>
      </c>
      <c r="C479" s="13" t="n">
        <v>46166</v>
      </c>
      <c r="D479" s="5" t="s">
        <v>164</v>
      </c>
      <c r="E479" s="5" t="s">
        <v>92</v>
      </c>
      <c r="F479" s="5" t="s">
        <v>93</v>
      </c>
      <c r="G479" s="5" t="s">
        <v>94</v>
      </c>
      <c r="H479" s="5" t="s">
        <v>95</v>
      </c>
      <c r="I479" s="11" t="n">
        <v>8</v>
      </c>
      <c r="J479" s="6" t="n">
        <v>4.49</v>
      </c>
      <c r="K479" s="6" t="n">
        <v>35.92</v>
      </c>
      <c r="L479" s="7" t="n">
        <v>0</v>
      </c>
      <c r="M479" s="6" t="n">
        <v>0</v>
      </c>
      <c r="N479" s="6" t="n">
        <v>5.39</v>
      </c>
      <c r="O479" s="6" t="n">
        <f aca="false">K479-M479-N479</f>
        <v>30.53</v>
      </c>
      <c r="P479" s="7" t="n">
        <v>0.1</v>
      </c>
      <c r="Q479" s="6" t="n">
        <v>27.75</v>
      </c>
      <c r="R479" s="6" t="n">
        <f aca="false">O479-Q479</f>
        <v>2.78</v>
      </c>
      <c r="S479" s="6" t="n">
        <v>16.8</v>
      </c>
      <c r="T479" s="6" t="n">
        <f aca="false">Q479-S479</f>
        <v>10.95</v>
      </c>
      <c r="U479" s="7" t="n">
        <f aca="false">IF(Q479=0,0,T479/Q479)</f>
        <v>0.394594594594595</v>
      </c>
      <c r="V479" s="5" t="s">
        <v>126</v>
      </c>
      <c r="W479" s="5" t="s">
        <v>177</v>
      </c>
      <c r="X479" s="5" t="s">
        <v>132</v>
      </c>
    </row>
    <row r="480" customFormat="false" ht="15" hidden="false" customHeight="false" outlineLevel="0" collapsed="false">
      <c r="A480" s="2" t="n">
        <v>479</v>
      </c>
      <c r="B480" s="2" t="s">
        <v>474</v>
      </c>
      <c r="C480" s="12" t="n">
        <v>46167</v>
      </c>
      <c r="D480" s="2" t="s">
        <v>258</v>
      </c>
      <c r="E480" s="2" t="s">
        <v>11</v>
      </c>
      <c r="F480" s="2" t="s">
        <v>12</v>
      </c>
      <c r="G480" s="2" t="s">
        <v>13</v>
      </c>
      <c r="H480" s="2" t="s">
        <v>14</v>
      </c>
      <c r="I480" s="9" t="n">
        <v>6</v>
      </c>
      <c r="J480" s="3" t="n">
        <v>89.9</v>
      </c>
      <c r="K480" s="3" t="n">
        <v>539.4</v>
      </c>
      <c r="L480" s="4" t="n">
        <v>0</v>
      </c>
      <c r="M480" s="3" t="n">
        <v>0</v>
      </c>
      <c r="N480" s="3" t="n">
        <v>53.94</v>
      </c>
      <c r="O480" s="3" t="n">
        <f aca="false">K480-M480-N480</f>
        <v>485.46</v>
      </c>
      <c r="P480" s="4" t="n">
        <v>0.21</v>
      </c>
      <c r="Q480" s="3" t="n">
        <v>401.21</v>
      </c>
      <c r="R480" s="3" t="n">
        <f aca="false">O480-Q480</f>
        <v>84.25</v>
      </c>
      <c r="S480" s="3" t="n">
        <v>231</v>
      </c>
      <c r="T480" s="3" t="n">
        <f aca="false">Q480-S480</f>
        <v>170.21</v>
      </c>
      <c r="U480" s="4" t="n">
        <f aca="false">IF(Q480=0,0,T480/Q480)</f>
        <v>0.424241668951422</v>
      </c>
      <c r="V480" s="2" t="s">
        <v>126</v>
      </c>
      <c r="W480" s="2" t="s">
        <v>156</v>
      </c>
      <c r="X480" s="2" t="s">
        <v>132</v>
      </c>
    </row>
    <row r="481" customFormat="false" ht="15" hidden="false" customHeight="false" outlineLevel="0" collapsed="false">
      <c r="A481" s="5" t="n">
        <v>480</v>
      </c>
      <c r="B481" s="5" t="s">
        <v>475</v>
      </c>
      <c r="C481" s="13" t="n">
        <v>46167</v>
      </c>
      <c r="D481" s="5" t="s">
        <v>164</v>
      </c>
      <c r="E481" s="5" t="s">
        <v>31</v>
      </c>
      <c r="F481" s="5" t="s">
        <v>32</v>
      </c>
      <c r="G481" s="5" t="s">
        <v>33</v>
      </c>
      <c r="H481" s="5" t="s">
        <v>23</v>
      </c>
      <c r="I481" s="11" t="n">
        <v>3</v>
      </c>
      <c r="J481" s="6" t="n">
        <v>89.9</v>
      </c>
      <c r="K481" s="6" t="n">
        <v>269.7</v>
      </c>
      <c r="L481" s="7" t="n">
        <v>0.25</v>
      </c>
      <c r="M481" s="6" t="n">
        <v>67.42</v>
      </c>
      <c r="N481" s="6" t="n">
        <v>20.23</v>
      </c>
      <c r="O481" s="6" t="n">
        <f aca="false">K481-M481-N481</f>
        <v>182.05</v>
      </c>
      <c r="P481" s="7" t="n">
        <v>0.21</v>
      </c>
      <c r="Q481" s="6" t="n">
        <v>150.45</v>
      </c>
      <c r="R481" s="6" t="n">
        <f aca="false">O481-Q481</f>
        <v>31.6</v>
      </c>
      <c r="S481" s="6" t="n">
        <v>144</v>
      </c>
      <c r="T481" s="6" t="n">
        <f aca="false">Q481-S481</f>
        <v>6.44999999999999</v>
      </c>
      <c r="U481" s="7" t="n">
        <f aca="false">IF(Q481=0,0,T481/Q481)</f>
        <v>0.0428713858424725</v>
      </c>
      <c r="V481" s="5" t="s">
        <v>126</v>
      </c>
      <c r="W481" s="5" t="s">
        <v>177</v>
      </c>
      <c r="X481" s="5" t="s">
        <v>132</v>
      </c>
    </row>
    <row r="482" customFormat="false" ht="15" hidden="false" customHeight="false" outlineLevel="0" collapsed="false">
      <c r="A482" s="2" t="n">
        <v>481</v>
      </c>
      <c r="B482" s="2" t="s">
        <v>475</v>
      </c>
      <c r="C482" s="12" t="n">
        <v>46167</v>
      </c>
      <c r="D482" s="2" t="s">
        <v>164</v>
      </c>
      <c r="E482" s="2" t="s">
        <v>40</v>
      </c>
      <c r="F482" s="2" t="s">
        <v>41</v>
      </c>
      <c r="G482" s="2" t="s">
        <v>38</v>
      </c>
      <c r="H482" s="2" t="s">
        <v>39</v>
      </c>
      <c r="I482" s="9" t="n">
        <v>2</v>
      </c>
      <c r="J482" s="3" t="n">
        <v>12.9</v>
      </c>
      <c r="K482" s="3" t="n">
        <v>25.8</v>
      </c>
      <c r="L482" s="4" t="n">
        <v>0</v>
      </c>
      <c r="M482" s="3" t="n">
        <v>0</v>
      </c>
      <c r="N482" s="3" t="n">
        <v>2.58</v>
      </c>
      <c r="O482" s="3" t="n">
        <f aca="false">K482-M482-N482</f>
        <v>23.22</v>
      </c>
      <c r="P482" s="4" t="n">
        <v>0.21</v>
      </c>
      <c r="Q482" s="3" t="n">
        <v>19.19</v>
      </c>
      <c r="R482" s="3" t="n">
        <f aca="false">O482-Q482</f>
        <v>4.03</v>
      </c>
      <c r="S482" s="3" t="n">
        <v>4.2</v>
      </c>
      <c r="T482" s="3" t="n">
        <f aca="false">Q482-S482</f>
        <v>14.99</v>
      </c>
      <c r="U482" s="4" t="n">
        <f aca="false">IF(Q482=0,0,T482/Q482)</f>
        <v>0.781136008337676</v>
      </c>
      <c r="V482" s="2" t="s">
        <v>126</v>
      </c>
      <c r="W482" s="2" t="s">
        <v>177</v>
      </c>
      <c r="X482" s="2" t="s">
        <v>132</v>
      </c>
    </row>
    <row r="483" customFormat="false" ht="15" hidden="false" customHeight="false" outlineLevel="0" collapsed="false">
      <c r="A483" s="5" t="n">
        <v>482</v>
      </c>
      <c r="B483" s="5" t="s">
        <v>476</v>
      </c>
      <c r="C483" s="13" t="n">
        <v>46167</v>
      </c>
      <c r="D483" s="5" t="s">
        <v>179</v>
      </c>
      <c r="E483" s="5" t="s">
        <v>69</v>
      </c>
      <c r="F483" s="5" t="s">
        <v>70</v>
      </c>
      <c r="G483" s="5" t="s">
        <v>71</v>
      </c>
      <c r="H483" s="5" t="s">
        <v>72</v>
      </c>
      <c r="I483" s="11" t="n">
        <v>1</v>
      </c>
      <c r="J483" s="6" t="n">
        <v>22.9</v>
      </c>
      <c r="K483" s="6" t="n">
        <v>22.9</v>
      </c>
      <c r="L483" s="7" t="n">
        <v>0</v>
      </c>
      <c r="M483" s="6" t="n">
        <v>0</v>
      </c>
      <c r="N483" s="6" t="n">
        <v>0</v>
      </c>
      <c r="O483" s="6" t="n">
        <f aca="false">K483-M483-N483</f>
        <v>22.9</v>
      </c>
      <c r="P483" s="7" t="n">
        <v>0.21</v>
      </c>
      <c r="Q483" s="6" t="n">
        <v>18.93</v>
      </c>
      <c r="R483" s="6" t="n">
        <f aca="false">O483-Q483</f>
        <v>3.97</v>
      </c>
      <c r="S483" s="6" t="n">
        <v>8</v>
      </c>
      <c r="T483" s="6" t="n">
        <f aca="false">Q483-S483</f>
        <v>10.93</v>
      </c>
      <c r="U483" s="7" t="n">
        <f aca="false">IF(Q483=0,0,T483/Q483)</f>
        <v>0.577390385631273</v>
      </c>
      <c r="V483" s="5" t="s">
        <v>126</v>
      </c>
      <c r="W483" s="5" t="s">
        <v>156</v>
      </c>
      <c r="X483" s="5" t="s">
        <v>176</v>
      </c>
    </row>
    <row r="484" customFormat="false" ht="15" hidden="false" customHeight="false" outlineLevel="0" collapsed="false">
      <c r="A484" s="2" t="n">
        <v>483</v>
      </c>
      <c r="B484" s="2" t="s">
        <v>477</v>
      </c>
      <c r="C484" s="12" t="n">
        <v>46168</v>
      </c>
      <c r="D484" s="2" t="s">
        <v>217</v>
      </c>
      <c r="E484" s="2" t="s">
        <v>87</v>
      </c>
      <c r="F484" s="2" t="s">
        <v>88</v>
      </c>
      <c r="G484" s="2" t="s">
        <v>85</v>
      </c>
      <c r="H484" s="2" t="s">
        <v>86</v>
      </c>
      <c r="I484" s="9" t="n">
        <v>8</v>
      </c>
      <c r="J484" s="3" t="n">
        <v>2.49</v>
      </c>
      <c r="K484" s="3" t="n">
        <v>19.92</v>
      </c>
      <c r="L484" s="4" t="n">
        <v>0</v>
      </c>
      <c r="M484" s="3" t="n">
        <v>0</v>
      </c>
      <c r="N484" s="3" t="n">
        <v>3.98</v>
      </c>
      <c r="O484" s="3" t="n">
        <f aca="false">K484-M484-N484</f>
        <v>15.94</v>
      </c>
      <c r="P484" s="4" t="n">
        <v>0.1</v>
      </c>
      <c r="Q484" s="3" t="n">
        <v>14.49</v>
      </c>
      <c r="R484" s="3" t="n">
        <f aca="false">O484-Q484</f>
        <v>1.45</v>
      </c>
      <c r="S484" s="3" t="n">
        <v>12</v>
      </c>
      <c r="T484" s="3" t="n">
        <f aca="false">Q484-S484</f>
        <v>2.49</v>
      </c>
      <c r="U484" s="4" t="n">
        <f aca="false">IF(Q484=0,0,T484/Q484)</f>
        <v>0.17184265010352</v>
      </c>
      <c r="V484" s="2" t="s">
        <v>172</v>
      </c>
      <c r="W484" s="2" t="s">
        <v>156</v>
      </c>
      <c r="X484" s="2" t="s">
        <v>132</v>
      </c>
    </row>
    <row r="485" customFormat="false" ht="15" hidden="false" customHeight="false" outlineLevel="0" collapsed="false">
      <c r="A485" s="5" t="n">
        <v>484</v>
      </c>
      <c r="B485" s="5" t="s">
        <v>478</v>
      </c>
      <c r="C485" s="13" t="n">
        <v>46168</v>
      </c>
      <c r="D485" s="5" t="s">
        <v>164</v>
      </c>
      <c r="E485" s="5" t="s">
        <v>16</v>
      </c>
      <c r="F485" s="5" t="s">
        <v>17</v>
      </c>
      <c r="G485" s="5" t="s">
        <v>13</v>
      </c>
      <c r="H485" s="5" t="s">
        <v>14</v>
      </c>
      <c r="I485" s="11" t="n">
        <v>1</v>
      </c>
      <c r="J485" s="6" t="n">
        <v>54.9</v>
      </c>
      <c r="K485" s="6" t="n">
        <v>54.9</v>
      </c>
      <c r="L485" s="7" t="n">
        <v>0.1</v>
      </c>
      <c r="M485" s="6" t="n">
        <v>5.49</v>
      </c>
      <c r="N485" s="6" t="n">
        <v>0</v>
      </c>
      <c r="O485" s="6" t="n">
        <f aca="false">K485-M485-N485</f>
        <v>49.41</v>
      </c>
      <c r="P485" s="7" t="n">
        <v>0.21</v>
      </c>
      <c r="Q485" s="6" t="n">
        <v>40.83</v>
      </c>
      <c r="R485" s="6" t="n">
        <f aca="false">O485-Q485</f>
        <v>8.58</v>
      </c>
      <c r="S485" s="6" t="n">
        <v>22</v>
      </c>
      <c r="T485" s="6" t="n">
        <f aca="false">Q485-S485</f>
        <v>18.83</v>
      </c>
      <c r="U485" s="7" t="n">
        <f aca="false">IF(Q485=0,0,T485/Q485)</f>
        <v>0.461180504530982</v>
      </c>
      <c r="V485" s="5" t="s">
        <v>126</v>
      </c>
      <c r="W485" s="5" t="s">
        <v>177</v>
      </c>
      <c r="X485" s="5" t="s">
        <v>185</v>
      </c>
    </row>
    <row r="486" customFormat="false" ht="15" hidden="false" customHeight="false" outlineLevel="0" collapsed="false">
      <c r="A486" s="2" t="n">
        <v>485</v>
      </c>
      <c r="B486" s="2" t="s">
        <v>478</v>
      </c>
      <c r="C486" s="12" t="n">
        <v>46168</v>
      </c>
      <c r="D486" s="2" t="s">
        <v>164</v>
      </c>
      <c r="E486" s="2" t="s">
        <v>49</v>
      </c>
      <c r="F486" s="2" t="s">
        <v>50</v>
      </c>
      <c r="G486" s="2" t="s">
        <v>51</v>
      </c>
      <c r="H486" s="2" t="s">
        <v>52</v>
      </c>
      <c r="I486" s="9" t="n">
        <v>1</v>
      </c>
      <c r="J486" s="3" t="n">
        <v>19.9</v>
      </c>
      <c r="K486" s="3" t="n">
        <v>19.9</v>
      </c>
      <c r="L486" s="4" t="n">
        <v>0</v>
      </c>
      <c r="M486" s="3" t="n">
        <v>0</v>
      </c>
      <c r="N486" s="3" t="n">
        <v>0</v>
      </c>
      <c r="O486" s="3" t="n">
        <f aca="false">K486-M486-N486</f>
        <v>19.9</v>
      </c>
      <c r="P486" s="4" t="n">
        <v>0.21</v>
      </c>
      <c r="Q486" s="3" t="n">
        <v>16.45</v>
      </c>
      <c r="R486" s="3" t="n">
        <f aca="false">O486-Q486</f>
        <v>3.45</v>
      </c>
      <c r="S486" s="3" t="n">
        <v>7.9</v>
      </c>
      <c r="T486" s="3" t="n">
        <f aca="false">Q486-S486</f>
        <v>8.55</v>
      </c>
      <c r="U486" s="4" t="n">
        <f aca="false">IF(Q486=0,0,T486/Q486)</f>
        <v>0.519756838905775</v>
      </c>
      <c r="V486" s="2" t="s">
        <v>126</v>
      </c>
      <c r="W486" s="2" t="s">
        <v>177</v>
      </c>
      <c r="X486" s="2" t="s">
        <v>185</v>
      </c>
    </row>
    <row r="487" customFormat="false" ht="15" hidden="false" customHeight="false" outlineLevel="0" collapsed="false">
      <c r="A487" s="5" t="n">
        <v>486</v>
      </c>
      <c r="B487" s="5" t="s">
        <v>478</v>
      </c>
      <c r="C487" s="13" t="n">
        <v>46168</v>
      </c>
      <c r="D487" s="5" t="s">
        <v>164</v>
      </c>
      <c r="E487" s="5" t="s">
        <v>61</v>
      </c>
      <c r="F487" s="5" t="s">
        <v>62</v>
      </c>
      <c r="G487" s="5" t="s">
        <v>59</v>
      </c>
      <c r="H487" s="5" t="s">
        <v>60</v>
      </c>
      <c r="I487" s="11" t="n">
        <v>6</v>
      </c>
      <c r="J487" s="6" t="n">
        <v>18.9</v>
      </c>
      <c r="K487" s="6" t="n">
        <v>113.4</v>
      </c>
      <c r="L487" s="7" t="n">
        <v>0.15</v>
      </c>
      <c r="M487" s="6" t="n">
        <v>17.01</v>
      </c>
      <c r="N487" s="6" t="n">
        <v>0</v>
      </c>
      <c r="O487" s="6" t="n">
        <f aca="false">K487-M487-N487</f>
        <v>96.39</v>
      </c>
      <c r="P487" s="7" t="n">
        <v>0.21</v>
      </c>
      <c r="Q487" s="6" t="n">
        <v>79.66</v>
      </c>
      <c r="R487" s="6" t="n">
        <f aca="false">O487-Q487</f>
        <v>16.73</v>
      </c>
      <c r="S487" s="6" t="n">
        <v>39</v>
      </c>
      <c r="T487" s="6" t="n">
        <f aca="false">Q487-S487</f>
        <v>40.66</v>
      </c>
      <c r="U487" s="7" t="n">
        <f aca="false">IF(Q487=0,0,T487/Q487)</f>
        <v>0.51041928194828</v>
      </c>
      <c r="V487" s="5" t="s">
        <v>126</v>
      </c>
      <c r="W487" s="5" t="s">
        <v>177</v>
      </c>
      <c r="X487" s="5" t="s">
        <v>185</v>
      </c>
    </row>
    <row r="488" customFormat="false" ht="15" hidden="false" customHeight="false" outlineLevel="0" collapsed="false">
      <c r="A488" s="2" t="n">
        <v>487</v>
      </c>
      <c r="B488" s="2" t="s">
        <v>479</v>
      </c>
      <c r="C488" s="12" t="n">
        <v>46170</v>
      </c>
      <c r="D488" s="2" t="s">
        <v>149</v>
      </c>
      <c r="E488" s="2" t="s">
        <v>81</v>
      </c>
      <c r="F488" s="2" t="s">
        <v>82</v>
      </c>
      <c r="G488" s="2" t="s">
        <v>79</v>
      </c>
      <c r="H488" s="2" t="s">
        <v>80</v>
      </c>
      <c r="I488" s="9" t="n">
        <v>1</v>
      </c>
      <c r="J488" s="3" t="n">
        <v>19.9</v>
      </c>
      <c r="K488" s="3" t="n">
        <v>19.9</v>
      </c>
      <c r="L488" s="4" t="n">
        <v>0</v>
      </c>
      <c r="M488" s="3" t="n">
        <v>0</v>
      </c>
      <c r="N488" s="3" t="n">
        <v>0</v>
      </c>
      <c r="O488" s="3" t="n">
        <f aca="false">K488-M488-N488</f>
        <v>19.9</v>
      </c>
      <c r="P488" s="4" t="n">
        <v>0.21</v>
      </c>
      <c r="Q488" s="3" t="n">
        <v>16.45</v>
      </c>
      <c r="R488" s="3" t="n">
        <f aca="false">O488-Q488</f>
        <v>3.45</v>
      </c>
      <c r="S488" s="3" t="n">
        <v>7</v>
      </c>
      <c r="T488" s="3" t="n">
        <f aca="false">Q488-S488</f>
        <v>9.45</v>
      </c>
      <c r="U488" s="4" t="n">
        <f aca="false">IF(Q488=0,0,T488/Q488)</f>
        <v>0.574468085106383</v>
      </c>
      <c r="V488" s="2" t="s">
        <v>126</v>
      </c>
      <c r="W488" s="2" t="s">
        <v>156</v>
      </c>
      <c r="X488" s="2" t="s">
        <v>176</v>
      </c>
    </row>
    <row r="489" customFormat="false" ht="15" hidden="false" customHeight="false" outlineLevel="0" collapsed="false">
      <c r="A489" s="5" t="n">
        <v>488</v>
      </c>
      <c r="B489" s="5" t="s">
        <v>480</v>
      </c>
      <c r="C489" s="13" t="n">
        <v>46172</v>
      </c>
      <c r="D489" s="5" t="s">
        <v>179</v>
      </c>
      <c r="E489" s="5" t="s">
        <v>67</v>
      </c>
      <c r="F489" s="5" t="s">
        <v>68</v>
      </c>
      <c r="G489" s="5" t="s">
        <v>65</v>
      </c>
      <c r="H489" s="5" t="s">
        <v>66</v>
      </c>
      <c r="I489" s="11" t="n">
        <v>3</v>
      </c>
      <c r="J489" s="6" t="n">
        <v>64.9</v>
      </c>
      <c r="K489" s="6" t="n">
        <v>194.7</v>
      </c>
      <c r="L489" s="7" t="n">
        <v>0</v>
      </c>
      <c r="M489" s="6" t="n">
        <v>0</v>
      </c>
      <c r="N489" s="6" t="n">
        <v>0</v>
      </c>
      <c r="O489" s="6" t="n">
        <f aca="false">K489-M489-N489</f>
        <v>194.7</v>
      </c>
      <c r="P489" s="7" t="n">
        <v>0.21</v>
      </c>
      <c r="Q489" s="6" t="n">
        <v>160.91</v>
      </c>
      <c r="R489" s="6" t="n">
        <f aca="false">O489-Q489</f>
        <v>33.79</v>
      </c>
      <c r="S489" s="6" t="n">
        <v>84</v>
      </c>
      <c r="T489" s="6" t="n">
        <f aca="false">Q489-S489</f>
        <v>76.91</v>
      </c>
      <c r="U489" s="7" t="n">
        <f aca="false">IF(Q489=0,0,T489/Q489)</f>
        <v>0.477969051022311</v>
      </c>
      <c r="V489" s="5" t="s">
        <v>148</v>
      </c>
      <c r="W489" s="5" t="s">
        <v>156</v>
      </c>
      <c r="X489" s="5" t="s">
        <v>231</v>
      </c>
    </row>
    <row r="490" customFormat="false" ht="15" hidden="false" customHeight="false" outlineLevel="0" collapsed="false">
      <c r="A490" s="2" t="n">
        <v>489</v>
      </c>
      <c r="B490" s="2" t="s">
        <v>481</v>
      </c>
      <c r="C490" s="12" t="n">
        <v>46173</v>
      </c>
      <c r="D490" s="2" t="s">
        <v>139</v>
      </c>
      <c r="E490" s="2" t="s">
        <v>34</v>
      </c>
      <c r="F490" s="2" t="s">
        <v>35</v>
      </c>
      <c r="G490" s="2" t="s">
        <v>30</v>
      </c>
      <c r="H490" s="2" t="s">
        <v>23</v>
      </c>
      <c r="I490" s="9" t="n">
        <v>2</v>
      </c>
      <c r="J490" s="3" t="n">
        <v>44.9</v>
      </c>
      <c r="K490" s="3" t="n">
        <v>89.8</v>
      </c>
      <c r="L490" s="4" t="n">
        <v>0</v>
      </c>
      <c r="M490" s="3" t="n">
        <v>0</v>
      </c>
      <c r="N490" s="3" t="n">
        <v>0</v>
      </c>
      <c r="O490" s="3" t="n">
        <f aca="false">K490-M490-N490</f>
        <v>89.8</v>
      </c>
      <c r="P490" s="4" t="n">
        <v>0.21</v>
      </c>
      <c r="Q490" s="3" t="n">
        <v>74.21</v>
      </c>
      <c r="R490" s="3" t="n">
        <f aca="false">O490-Q490</f>
        <v>15.59</v>
      </c>
      <c r="S490" s="3" t="n">
        <v>38</v>
      </c>
      <c r="T490" s="3" t="n">
        <f aca="false">Q490-S490</f>
        <v>36.21</v>
      </c>
      <c r="U490" s="4" t="n">
        <f aca="false">IF(Q490=0,0,T490/Q490)</f>
        <v>0.487939630777523</v>
      </c>
      <c r="V490" s="2" t="s">
        <v>138</v>
      </c>
      <c r="W490" s="2" t="s">
        <v>156</v>
      </c>
      <c r="X490" s="2" t="s">
        <v>132</v>
      </c>
    </row>
    <row r="491" customFormat="false" ht="15" hidden="false" customHeight="false" outlineLevel="0" collapsed="false">
      <c r="A491" s="5" t="n">
        <v>490</v>
      </c>
      <c r="B491" s="5" t="s">
        <v>482</v>
      </c>
      <c r="C491" s="13" t="n">
        <v>46176</v>
      </c>
      <c r="D491" s="5" t="s">
        <v>179</v>
      </c>
      <c r="E491" s="5" t="s">
        <v>57</v>
      </c>
      <c r="F491" s="5" t="s">
        <v>58</v>
      </c>
      <c r="G491" s="5" t="s">
        <v>59</v>
      </c>
      <c r="H491" s="5" t="s">
        <v>60</v>
      </c>
      <c r="I491" s="11" t="n">
        <v>2</v>
      </c>
      <c r="J491" s="6" t="n">
        <v>39.9</v>
      </c>
      <c r="K491" s="6" t="n">
        <v>79.8</v>
      </c>
      <c r="L491" s="7" t="n">
        <v>0.1</v>
      </c>
      <c r="M491" s="6" t="n">
        <v>7.98</v>
      </c>
      <c r="N491" s="6" t="n">
        <v>0</v>
      </c>
      <c r="O491" s="6" t="n">
        <f aca="false">K491-M491-N491</f>
        <v>71.82</v>
      </c>
      <c r="P491" s="7" t="n">
        <v>0.21</v>
      </c>
      <c r="Q491" s="6" t="n">
        <v>59.36</v>
      </c>
      <c r="R491" s="6" t="n">
        <f aca="false">O491-Q491</f>
        <v>12.46</v>
      </c>
      <c r="S491" s="6" t="n">
        <v>32</v>
      </c>
      <c r="T491" s="6" t="n">
        <f aca="false">Q491-S491</f>
        <v>27.36</v>
      </c>
      <c r="U491" s="7" t="n">
        <f aca="false">IF(Q491=0,0,T491/Q491)</f>
        <v>0.460916442048518</v>
      </c>
      <c r="V491" s="5" t="s">
        <v>148</v>
      </c>
      <c r="W491" s="5" t="s">
        <v>136</v>
      </c>
      <c r="X491" s="5" t="s">
        <v>231</v>
      </c>
    </row>
    <row r="492" customFormat="false" ht="15" hidden="false" customHeight="false" outlineLevel="0" collapsed="false">
      <c r="A492" s="2" t="n">
        <v>491</v>
      </c>
      <c r="B492" s="2" t="s">
        <v>482</v>
      </c>
      <c r="C492" s="12" t="n">
        <v>46176</v>
      </c>
      <c r="D492" s="2" t="s">
        <v>179</v>
      </c>
      <c r="E492" s="2" t="s">
        <v>16</v>
      </c>
      <c r="F492" s="2" t="s">
        <v>17</v>
      </c>
      <c r="G492" s="2" t="s">
        <v>13</v>
      </c>
      <c r="H492" s="2" t="s">
        <v>14</v>
      </c>
      <c r="I492" s="9" t="n">
        <v>2</v>
      </c>
      <c r="J492" s="3" t="n">
        <v>54.9</v>
      </c>
      <c r="K492" s="3" t="n">
        <v>109.8</v>
      </c>
      <c r="L492" s="4" t="n">
        <v>0</v>
      </c>
      <c r="M492" s="3" t="n">
        <v>0</v>
      </c>
      <c r="N492" s="3" t="n">
        <v>0</v>
      </c>
      <c r="O492" s="3" t="n">
        <f aca="false">K492-M492-N492</f>
        <v>109.8</v>
      </c>
      <c r="P492" s="4" t="n">
        <v>0.21</v>
      </c>
      <c r="Q492" s="3" t="n">
        <v>90.74</v>
      </c>
      <c r="R492" s="3" t="n">
        <f aca="false">O492-Q492</f>
        <v>19.06</v>
      </c>
      <c r="S492" s="3" t="n">
        <v>44</v>
      </c>
      <c r="T492" s="3" t="n">
        <f aca="false">Q492-S492</f>
        <v>46.74</v>
      </c>
      <c r="U492" s="4" t="n">
        <f aca="false">IF(Q492=0,0,T492/Q492)</f>
        <v>0.515098082433326</v>
      </c>
      <c r="V492" s="2" t="s">
        <v>148</v>
      </c>
      <c r="W492" s="2" t="s">
        <v>136</v>
      </c>
      <c r="X492" s="2" t="s">
        <v>231</v>
      </c>
    </row>
    <row r="493" customFormat="false" ht="15" hidden="false" customHeight="false" outlineLevel="0" collapsed="false">
      <c r="A493" s="5" t="n">
        <v>492</v>
      </c>
      <c r="B493" s="5" t="s">
        <v>483</v>
      </c>
      <c r="C493" s="13" t="n">
        <v>46177</v>
      </c>
      <c r="D493" s="5" t="s">
        <v>127</v>
      </c>
      <c r="E493" s="5" t="s">
        <v>67</v>
      </c>
      <c r="F493" s="5" t="s">
        <v>68</v>
      </c>
      <c r="G493" s="5" t="s">
        <v>65</v>
      </c>
      <c r="H493" s="5" t="s">
        <v>66</v>
      </c>
      <c r="I493" s="11" t="n">
        <v>1</v>
      </c>
      <c r="J493" s="6" t="n">
        <v>64.9</v>
      </c>
      <c r="K493" s="6" t="n">
        <v>64.9</v>
      </c>
      <c r="L493" s="7" t="n">
        <v>0</v>
      </c>
      <c r="M493" s="6" t="n">
        <v>0</v>
      </c>
      <c r="N493" s="6" t="n">
        <v>0</v>
      </c>
      <c r="O493" s="6" t="n">
        <f aca="false">K493-M493-N493</f>
        <v>64.9</v>
      </c>
      <c r="P493" s="7" t="n">
        <v>0.21</v>
      </c>
      <c r="Q493" s="6" t="n">
        <v>53.64</v>
      </c>
      <c r="R493" s="6" t="n">
        <f aca="false">O493-Q493</f>
        <v>11.26</v>
      </c>
      <c r="S493" s="6" t="n">
        <v>28</v>
      </c>
      <c r="T493" s="6" t="n">
        <f aca="false">Q493-S493</f>
        <v>25.64</v>
      </c>
      <c r="U493" s="7" t="n">
        <f aca="false">IF(Q493=0,0,T493/Q493)</f>
        <v>0.47800149142431</v>
      </c>
      <c r="V493" s="5" t="s">
        <v>126</v>
      </c>
      <c r="W493" s="5" t="s">
        <v>136</v>
      </c>
      <c r="X493" s="5" t="s">
        <v>132</v>
      </c>
    </row>
    <row r="494" customFormat="false" ht="15" hidden="false" customHeight="false" outlineLevel="0" collapsed="false">
      <c r="A494" s="2" t="n">
        <v>493</v>
      </c>
      <c r="B494" s="2" t="s">
        <v>484</v>
      </c>
      <c r="C494" s="12" t="n">
        <v>46177</v>
      </c>
      <c r="D494" s="2" t="s">
        <v>139</v>
      </c>
      <c r="E494" s="2" t="s">
        <v>42</v>
      </c>
      <c r="F494" s="2" t="s">
        <v>43</v>
      </c>
      <c r="G494" s="2" t="s">
        <v>44</v>
      </c>
      <c r="H494" s="2" t="s">
        <v>39</v>
      </c>
      <c r="I494" s="9" t="n">
        <v>3</v>
      </c>
      <c r="J494" s="3" t="n">
        <v>24.9</v>
      </c>
      <c r="K494" s="3" t="n">
        <v>74.7</v>
      </c>
      <c r="L494" s="4" t="n">
        <v>0</v>
      </c>
      <c r="M494" s="3" t="n">
        <v>0</v>
      </c>
      <c r="N494" s="3" t="n">
        <v>7.47</v>
      </c>
      <c r="O494" s="3" t="n">
        <f aca="false">K494-M494-N494</f>
        <v>67.23</v>
      </c>
      <c r="P494" s="4" t="n">
        <v>0.21</v>
      </c>
      <c r="Q494" s="3" t="n">
        <v>55.56</v>
      </c>
      <c r="R494" s="3" t="n">
        <f aca="false">O494-Q494</f>
        <v>11.67</v>
      </c>
      <c r="S494" s="3" t="n">
        <v>25.5</v>
      </c>
      <c r="T494" s="3" t="n">
        <f aca="false">Q494-S494</f>
        <v>30.06</v>
      </c>
      <c r="U494" s="4" t="n">
        <f aca="false">IF(Q494=0,0,T494/Q494)</f>
        <v>0.541036717062635</v>
      </c>
      <c r="V494" s="2" t="s">
        <v>138</v>
      </c>
      <c r="W494" s="2" t="s">
        <v>136</v>
      </c>
      <c r="X494" s="2" t="s">
        <v>132</v>
      </c>
    </row>
    <row r="495" customFormat="false" ht="15" hidden="false" customHeight="false" outlineLevel="0" collapsed="false">
      <c r="A495" s="5" t="n">
        <v>494</v>
      </c>
      <c r="B495" s="5" t="s">
        <v>485</v>
      </c>
      <c r="C495" s="13" t="n">
        <v>46177</v>
      </c>
      <c r="D495" s="5" t="s">
        <v>223</v>
      </c>
      <c r="E495" s="5" t="s">
        <v>73</v>
      </c>
      <c r="F495" s="5" t="s">
        <v>74</v>
      </c>
      <c r="G495" s="5" t="s">
        <v>71</v>
      </c>
      <c r="H495" s="5" t="s">
        <v>72</v>
      </c>
      <c r="I495" s="11" t="n">
        <v>1</v>
      </c>
      <c r="J495" s="6" t="n">
        <v>69.9</v>
      </c>
      <c r="K495" s="6" t="n">
        <v>69.9</v>
      </c>
      <c r="L495" s="7" t="n">
        <v>0</v>
      </c>
      <c r="M495" s="6" t="n">
        <v>0</v>
      </c>
      <c r="N495" s="6" t="n">
        <v>10.48</v>
      </c>
      <c r="O495" s="6" t="n">
        <f aca="false">K495-M495-N495</f>
        <v>59.42</v>
      </c>
      <c r="P495" s="7" t="n">
        <v>0.21</v>
      </c>
      <c r="Q495" s="6" t="n">
        <v>49.11</v>
      </c>
      <c r="R495" s="6" t="n">
        <f aca="false">O495-Q495</f>
        <v>10.31</v>
      </c>
      <c r="S495" s="6" t="n">
        <v>29</v>
      </c>
      <c r="T495" s="6" t="n">
        <f aca="false">Q495-S495</f>
        <v>20.11</v>
      </c>
      <c r="U495" s="7" t="n">
        <f aca="false">IF(Q495=0,0,T495/Q495)</f>
        <v>0.409488902463857</v>
      </c>
      <c r="V495" s="5" t="s">
        <v>126</v>
      </c>
      <c r="W495" s="5" t="s">
        <v>177</v>
      </c>
      <c r="X495" s="5" t="s">
        <v>132</v>
      </c>
    </row>
    <row r="496" customFormat="false" ht="15" hidden="false" customHeight="false" outlineLevel="0" collapsed="false">
      <c r="A496" s="2" t="n">
        <v>495</v>
      </c>
      <c r="B496" s="2" t="s">
        <v>486</v>
      </c>
      <c r="C496" s="12" t="n">
        <v>46178</v>
      </c>
      <c r="D496" s="2" t="s">
        <v>223</v>
      </c>
      <c r="E496" s="2" t="s">
        <v>24</v>
      </c>
      <c r="F496" s="2" t="s">
        <v>25</v>
      </c>
      <c r="G496" s="2" t="s">
        <v>22</v>
      </c>
      <c r="H496" s="2" t="s">
        <v>23</v>
      </c>
      <c r="I496" s="9" t="n">
        <v>1</v>
      </c>
      <c r="J496" s="3" t="n">
        <v>24.9</v>
      </c>
      <c r="K496" s="3" t="n">
        <v>24.9</v>
      </c>
      <c r="L496" s="4" t="n">
        <v>0</v>
      </c>
      <c r="M496" s="3" t="n">
        <v>0</v>
      </c>
      <c r="N496" s="3" t="n">
        <v>0</v>
      </c>
      <c r="O496" s="3" t="n">
        <f aca="false">K496-M496-N496</f>
        <v>24.9</v>
      </c>
      <c r="P496" s="4" t="n">
        <v>0.21</v>
      </c>
      <c r="Q496" s="3" t="n">
        <v>20.58</v>
      </c>
      <c r="R496" s="3" t="n">
        <f aca="false">O496-Q496</f>
        <v>4.32</v>
      </c>
      <c r="S496" s="3" t="n">
        <v>9.8</v>
      </c>
      <c r="T496" s="3" t="n">
        <f aca="false">Q496-S496</f>
        <v>10.78</v>
      </c>
      <c r="U496" s="4" t="n">
        <f aca="false">IF(Q496=0,0,T496/Q496)</f>
        <v>0.523809523809524</v>
      </c>
      <c r="V496" s="2" t="s">
        <v>126</v>
      </c>
      <c r="W496" s="2" t="s">
        <v>156</v>
      </c>
      <c r="X496" s="2" t="s">
        <v>132</v>
      </c>
    </row>
    <row r="497" customFormat="false" ht="15" hidden="false" customHeight="false" outlineLevel="0" collapsed="false">
      <c r="A497" s="5" t="n">
        <v>496</v>
      </c>
      <c r="B497" s="5" t="s">
        <v>487</v>
      </c>
      <c r="C497" s="13" t="n">
        <v>46179</v>
      </c>
      <c r="D497" s="5" t="s">
        <v>217</v>
      </c>
      <c r="E497" s="5" t="s">
        <v>96</v>
      </c>
      <c r="F497" s="5" t="s">
        <v>97</v>
      </c>
      <c r="G497" s="5" t="s">
        <v>94</v>
      </c>
      <c r="H497" s="5" t="s">
        <v>95</v>
      </c>
      <c r="I497" s="11" t="n">
        <v>5</v>
      </c>
      <c r="J497" s="6" t="n">
        <v>7.99</v>
      </c>
      <c r="K497" s="6" t="n">
        <v>39.95</v>
      </c>
      <c r="L497" s="7" t="n">
        <v>0.15</v>
      </c>
      <c r="M497" s="6" t="n">
        <v>5.99</v>
      </c>
      <c r="N497" s="6" t="n">
        <v>5.09</v>
      </c>
      <c r="O497" s="6" t="n">
        <f aca="false">K497-M497-N497</f>
        <v>28.87</v>
      </c>
      <c r="P497" s="7" t="n">
        <v>0.1</v>
      </c>
      <c r="Q497" s="6" t="n">
        <v>26.25</v>
      </c>
      <c r="R497" s="6" t="n">
        <f aca="false">O497-Q497</f>
        <v>2.62</v>
      </c>
      <c r="S497" s="6" t="n">
        <v>17</v>
      </c>
      <c r="T497" s="6" t="n">
        <f aca="false">Q497-S497</f>
        <v>9.25</v>
      </c>
      <c r="U497" s="7" t="n">
        <f aca="false">IF(Q497=0,0,T497/Q497)</f>
        <v>0.352380952380952</v>
      </c>
      <c r="V497" s="5" t="s">
        <v>138</v>
      </c>
      <c r="W497" s="5" t="s">
        <v>136</v>
      </c>
      <c r="X497" s="5" t="s">
        <v>132</v>
      </c>
    </row>
    <row r="498" customFormat="false" ht="15" hidden="false" customHeight="false" outlineLevel="0" collapsed="false">
      <c r="A498" s="2" t="n">
        <v>497</v>
      </c>
      <c r="B498" s="2" t="s">
        <v>487</v>
      </c>
      <c r="C498" s="12" t="n">
        <v>46179</v>
      </c>
      <c r="D498" s="2" t="s">
        <v>217</v>
      </c>
      <c r="E498" s="2" t="s">
        <v>83</v>
      </c>
      <c r="F498" s="2" t="s">
        <v>84</v>
      </c>
      <c r="G498" s="2" t="s">
        <v>85</v>
      </c>
      <c r="H498" s="2" t="s">
        <v>86</v>
      </c>
      <c r="I498" s="9" t="n">
        <v>1</v>
      </c>
      <c r="J498" s="3" t="n">
        <v>3.9</v>
      </c>
      <c r="K498" s="3" t="n">
        <v>3.9</v>
      </c>
      <c r="L498" s="4" t="n">
        <v>0.1</v>
      </c>
      <c r="M498" s="3" t="n">
        <v>0.39</v>
      </c>
      <c r="N498" s="3" t="n">
        <v>0.53</v>
      </c>
      <c r="O498" s="3" t="n">
        <f aca="false">K498-M498-N498</f>
        <v>2.98</v>
      </c>
      <c r="P498" s="4" t="n">
        <v>0.1</v>
      </c>
      <c r="Q498" s="3" t="n">
        <v>2.71</v>
      </c>
      <c r="R498" s="3" t="n">
        <f aca="false">O498-Q498</f>
        <v>0.27</v>
      </c>
      <c r="S498" s="3" t="n">
        <v>2.5</v>
      </c>
      <c r="T498" s="3" t="n">
        <f aca="false">Q498-S498</f>
        <v>0.21</v>
      </c>
      <c r="U498" s="4" t="n">
        <f aca="false">IF(Q498=0,0,T498/Q498)</f>
        <v>0.0774907749077491</v>
      </c>
      <c r="V498" s="2" t="s">
        <v>138</v>
      </c>
      <c r="W498" s="2" t="s">
        <v>136</v>
      </c>
      <c r="X498" s="2" t="s">
        <v>132</v>
      </c>
    </row>
    <row r="499" customFormat="false" ht="15" hidden="false" customHeight="false" outlineLevel="0" collapsed="false">
      <c r="A499" s="5" t="n">
        <v>498</v>
      </c>
      <c r="B499" s="5" t="s">
        <v>488</v>
      </c>
      <c r="C499" s="13" t="n">
        <v>46180</v>
      </c>
      <c r="D499" s="5" t="s">
        <v>164</v>
      </c>
      <c r="E499" s="5" t="s">
        <v>47</v>
      </c>
      <c r="F499" s="5" t="s">
        <v>48</v>
      </c>
      <c r="G499" s="5" t="s">
        <v>44</v>
      </c>
      <c r="H499" s="5" t="s">
        <v>39</v>
      </c>
      <c r="I499" s="11" t="n">
        <v>6</v>
      </c>
      <c r="J499" s="6" t="n">
        <v>34.9</v>
      </c>
      <c r="K499" s="6" t="n">
        <v>209.4</v>
      </c>
      <c r="L499" s="7" t="n">
        <v>0.05</v>
      </c>
      <c r="M499" s="6" t="n">
        <v>10.47</v>
      </c>
      <c r="N499" s="6" t="n">
        <v>0</v>
      </c>
      <c r="O499" s="6" t="n">
        <f aca="false">K499-M499-N499</f>
        <v>198.93</v>
      </c>
      <c r="P499" s="7" t="n">
        <v>0.21</v>
      </c>
      <c r="Q499" s="6" t="n">
        <v>164.4</v>
      </c>
      <c r="R499" s="6" t="n">
        <f aca="false">O499-Q499</f>
        <v>34.53</v>
      </c>
      <c r="S499" s="6" t="n">
        <v>84</v>
      </c>
      <c r="T499" s="6" t="n">
        <f aca="false">Q499-S499</f>
        <v>80.4</v>
      </c>
      <c r="U499" s="7" t="n">
        <f aca="false">IF(Q499=0,0,T499/Q499)</f>
        <v>0.489051094890511</v>
      </c>
      <c r="V499" s="5" t="s">
        <v>126</v>
      </c>
      <c r="W499" s="5" t="s">
        <v>154</v>
      </c>
      <c r="X499" s="5" t="s">
        <v>132</v>
      </c>
    </row>
    <row r="500" customFormat="false" ht="15" hidden="false" customHeight="false" outlineLevel="0" collapsed="false">
      <c r="A500" s="2" t="n">
        <v>499</v>
      </c>
      <c r="B500" s="2" t="s">
        <v>488</v>
      </c>
      <c r="C500" s="12" t="n">
        <v>46180</v>
      </c>
      <c r="D500" s="2" t="s">
        <v>164</v>
      </c>
      <c r="E500" s="2" t="s">
        <v>24</v>
      </c>
      <c r="F500" s="2" t="s">
        <v>25</v>
      </c>
      <c r="G500" s="2" t="s">
        <v>22</v>
      </c>
      <c r="H500" s="2" t="s">
        <v>23</v>
      </c>
      <c r="I500" s="9" t="n">
        <v>1</v>
      </c>
      <c r="J500" s="3" t="n">
        <v>24.9</v>
      </c>
      <c r="K500" s="3" t="n">
        <v>24.9</v>
      </c>
      <c r="L500" s="4" t="n">
        <v>0.15</v>
      </c>
      <c r="M500" s="3" t="n">
        <v>3.74</v>
      </c>
      <c r="N500" s="3" t="n">
        <v>0</v>
      </c>
      <c r="O500" s="3" t="n">
        <f aca="false">K500-M500-N500</f>
        <v>21.16</v>
      </c>
      <c r="P500" s="4" t="n">
        <v>0.21</v>
      </c>
      <c r="Q500" s="3" t="n">
        <v>17.49</v>
      </c>
      <c r="R500" s="3" t="n">
        <f aca="false">O500-Q500</f>
        <v>3.67</v>
      </c>
      <c r="S500" s="3" t="n">
        <v>9.8</v>
      </c>
      <c r="T500" s="3" t="n">
        <f aca="false">Q500-S500</f>
        <v>7.69</v>
      </c>
      <c r="U500" s="4" t="n">
        <f aca="false">IF(Q500=0,0,T500/Q500)</f>
        <v>0.439679817038308</v>
      </c>
      <c r="V500" s="2" t="s">
        <v>126</v>
      </c>
      <c r="W500" s="2" t="s">
        <v>154</v>
      </c>
      <c r="X500" s="2" t="s">
        <v>132</v>
      </c>
    </row>
    <row r="501" customFormat="false" ht="15" hidden="false" customHeight="false" outlineLevel="0" collapsed="false">
      <c r="A501" s="5" t="n">
        <v>500</v>
      </c>
      <c r="B501" s="5" t="s">
        <v>489</v>
      </c>
      <c r="C501" s="13" t="n">
        <v>46181</v>
      </c>
      <c r="D501" s="5" t="s">
        <v>202</v>
      </c>
      <c r="E501" s="5" t="s">
        <v>42</v>
      </c>
      <c r="F501" s="5" t="s">
        <v>43</v>
      </c>
      <c r="G501" s="5" t="s">
        <v>44</v>
      </c>
      <c r="H501" s="5" t="s">
        <v>39</v>
      </c>
      <c r="I501" s="11" t="n">
        <v>6</v>
      </c>
      <c r="J501" s="6" t="n">
        <v>24.9</v>
      </c>
      <c r="K501" s="6" t="n">
        <v>149.4</v>
      </c>
      <c r="L501" s="7" t="n">
        <v>0.05</v>
      </c>
      <c r="M501" s="6" t="n">
        <v>7.47</v>
      </c>
      <c r="N501" s="6" t="n">
        <v>0</v>
      </c>
      <c r="O501" s="6" t="n">
        <f aca="false">K501-M501-N501</f>
        <v>141.93</v>
      </c>
      <c r="P501" s="7" t="n">
        <v>0.21</v>
      </c>
      <c r="Q501" s="6" t="n">
        <v>117.3</v>
      </c>
      <c r="R501" s="6" t="n">
        <f aca="false">O501-Q501</f>
        <v>24.63</v>
      </c>
      <c r="S501" s="6" t="n">
        <v>51</v>
      </c>
      <c r="T501" s="6" t="n">
        <f aca="false">Q501-S501</f>
        <v>66.3</v>
      </c>
      <c r="U501" s="7" t="n">
        <f aca="false">IF(Q501=0,0,T501/Q501)</f>
        <v>0.565217391304348</v>
      </c>
      <c r="V501" s="5" t="s">
        <v>172</v>
      </c>
      <c r="W501" s="5" t="s">
        <v>177</v>
      </c>
      <c r="X501" s="5" t="s">
        <v>132</v>
      </c>
    </row>
    <row r="502" customFormat="false" ht="15" hidden="false" customHeight="false" outlineLevel="0" collapsed="false">
      <c r="A502" s="2" t="n">
        <v>501</v>
      </c>
      <c r="B502" s="2" t="s">
        <v>490</v>
      </c>
      <c r="C502" s="12" t="n">
        <v>46183</v>
      </c>
      <c r="D502" s="2" t="s">
        <v>149</v>
      </c>
      <c r="E502" s="2" t="s">
        <v>57</v>
      </c>
      <c r="F502" s="2" t="s">
        <v>58</v>
      </c>
      <c r="G502" s="2" t="s">
        <v>59</v>
      </c>
      <c r="H502" s="2" t="s">
        <v>60</v>
      </c>
      <c r="I502" s="9" t="n">
        <v>1</v>
      </c>
      <c r="J502" s="3" t="n">
        <v>39.9</v>
      </c>
      <c r="K502" s="3" t="n">
        <v>39.9</v>
      </c>
      <c r="L502" s="4" t="n">
        <v>0</v>
      </c>
      <c r="M502" s="3" t="n">
        <v>0</v>
      </c>
      <c r="N502" s="3" t="n">
        <v>5.99</v>
      </c>
      <c r="O502" s="3" t="n">
        <f aca="false">K502-M502-N502</f>
        <v>33.91</v>
      </c>
      <c r="P502" s="4" t="n">
        <v>0.21</v>
      </c>
      <c r="Q502" s="3" t="n">
        <v>28.02</v>
      </c>
      <c r="R502" s="3" t="n">
        <f aca="false">O502-Q502</f>
        <v>5.89</v>
      </c>
      <c r="S502" s="3" t="n">
        <v>16</v>
      </c>
      <c r="T502" s="3" t="n">
        <f aca="false">Q502-S502</f>
        <v>12.02</v>
      </c>
      <c r="U502" s="4" t="n">
        <f aca="false">IF(Q502=0,0,T502/Q502)</f>
        <v>0.428979300499643</v>
      </c>
      <c r="V502" s="2" t="s">
        <v>126</v>
      </c>
      <c r="W502" s="2" t="s">
        <v>177</v>
      </c>
      <c r="X502" s="2" t="s">
        <v>185</v>
      </c>
    </row>
    <row r="503" customFormat="false" ht="15" hidden="false" customHeight="false" outlineLevel="0" collapsed="false">
      <c r="A503" s="5" t="n">
        <v>502</v>
      </c>
      <c r="B503" s="5" t="s">
        <v>490</v>
      </c>
      <c r="C503" s="13" t="n">
        <v>46183</v>
      </c>
      <c r="D503" s="5" t="s">
        <v>149</v>
      </c>
      <c r="E503" s="5" t="s">
        <v>77</v>
      </c>
      <c r="F503" s="5" t="s">
        <v>78</v>
      </c>
      <c r="G503" s="5" t="s">
        <v>79</v>
      </c>
      <c r="H503" s="5" t="s">
        <v>80</v>
      </c>
      <c r="I503" s="11" t="n">
        <v>1</v>
      </c>
      <c r="J503" s="6" t="n">
        <v>59.9</v>
      </c>
      <c r="K503" s="6" t="n">
        <v>59.9</v>
      </c>
      <c r="L503" s="7" t="n">
        <v>0</v>
      </c>
      <c r="M503" s="6" t="n">
        <v>0</v>
      </c>
      <c r="N503" s="6" t="n">
        <v>8.98</v>
      </c>
      <c r="O503" s="6" t="n">
        <f aca="false">K503-M503-N503</f>
        <v>50.92</v>
      </c>
      <c r="P503" s="7" t="n">
        <v>0.21</v>
      </c>
      <c r="Q503" s="6" t="n">
        <v>42.08</v>
      </c>
      <c r="R503" s="6" t="n">
        <f aca="false">O503-Q503</f>
        <v>8.84</v>
      </c>
      <c r="S503" s="6" t="n">
        <v>24</v>
      </c>
      <c r="T503" s="6" t="n">
        <f aca="false">Q503-S503</f>
        <v>18.08</v>
      </c>
      <c r="U503" s="7" t="n">
        <f aca="false">IF(Q503=0,0,T503/Q503)</f>
        <v>0.429657794676806</v>
      </c>
      <c r="V503" s="5" t="s">
        <v>126</v>
      </c>
      <c r="W503" s="5" t="s">
        <v>177</v>
      </c>
      <c r="X503" s="5" t="s">
        <v>185</v>
      </c>
    </row>
    <row r="504" customFormat="false" ht="15" hidden="false" customHeight="false" outlineLevel="0" collapsed="false">
      <c r="A504" s="2" t="n">
        <v>503</v>
      </c>
      <c r="B504" s="2" t="s">
        <v>490</v>
      </c>
      <c r="C504" s="12" t="n">
        <v>46183</v>
      </c>
      <c r="D504" s="2" t="s">
        <v>149</v>
      </c>
      <c r="E504" s="2" t="s">
        <v>18</v>
      </c>
      <c r="F504" s="2" t="s">
        <v>19</v>
      </c>
      <c r="G504" s="2" t="s">
        <v>13</v>
      </c>
      <c r="H504" s="2" t="s">
        <v>14</v>
      </c>
      <c r="I504" s="9" t="n">
        <v>2</v>
      </c>
      <c r="J504" s="3" t="n">
        <v>199</v>
      </c>
      <c r="K504" s="3" t="n">
        <v>398</v>
      </c>
      <c r="L504" s="4" t="n">
        <v>0.05</v>
      </c>
      <c r="M504" s="3" t="n">
        <v>19.9</v>
      </c>
      <c r="N504" s="3" t="n">
        <v>56.71</v>
      </c>
      <c r="O504" s="3" t="n">
        <f aca="false">K504-M504-N504</f>
        <v>321.39</v>
      </c>
      <c r="P504" s="4" t="n">
        <v>0.21</v>
      </c>
      <c r="Q504" s="3" t="n">
        <v>265.61</v>
      </c>
      <c r="R504" s="3" t="n">
        <f aca="false">O504-Q504</f>
        <v>55.78</v>
      </c>
      <c r="S504" s="3" t="n">
        <v>190</v>
      </c>
      <c r="T504" s="3" t="n">
        <f aca="false">Q504-S504</f>
        <v>75.61</v>
      </c>
      <c r="U504" s="4" t="n">
        <f aca="false">IF(Q504=0,0,T504/Q504)</f>
        <v>0.284665486992207</v>
      </c>
      <c r="V504" s="2" t="s">
        <v>126</v>
      </c>
      <c r="W504" s="2" t="s">
        <v>177</v>
      </c>
      <c r="X504" s="2" t="s">
        <v>185</v>
      </c>
    </row>
    <row r="505" customFormat="false" ht="15" hidden="false" customHeight="false" outlineLevel="0" collapsed="false">
      <c r="A505" s="5" t="n">
        <v>504</v>
      </c>
      <c r="B505" s="5" t="s">
        <v>490</v>
      </c>
      <c r="C505" s="13" t="n">
        <v>46183</v>
      </c>
      <c r="D505" s="5" t="s">
        <v>149</v>
      </c>
      <c r="E505" s="5" t="s">
        <v>96</v>
      </c>
      <c r="F505" s="5" t="s">
        <v>97</v>
      </c>
      <c r="G505" s="5" t="s">
        <v>94</v>
      </c>
      <c r="H505" s="5" t="s">
        <v>95</v>
      </c>
      <c r="I505" s="11" t="n">
        <v>3</v>
      </c>
      <c r="J505" s="6" t="n">
        <v>7.99</v>
      </c>
      <c r="K505" s="6" t="n">
        <v>23.97</v>
      </c>
      <c r="L505" s="7" t="n">
        <v>0</v>
      </c>
      <c r="M505" s="6" t="n">
        <v>0</v>
      </c>
      <c r="N505" s="6" t="n">
        <v>3.6</v>
      </c>
      <c r="O505" s="6" t="n">
        <f aca="false">K505-M505-N505</f>
        <v>20.37</v>
      </c>
      <c r="P505" s="7" t="n">
        <v>0.1</v>
      </c>
      <c r="Q505" s="6" t="n">
        <v>18.52</v>
      </c>
      <c r="R505" s="6" t="n">
        <f aca="false">O505-Q505</f>
        <v>1.85</v>
      </c>
      <c r="S505" s="6" t="n">
        <v>10.2</v>
      </c>
      <c r="T505" s="6" t="n">
        <f aca="false">Q505-S505</f>
        <v>8.32</v>
      </c>
      <c r="U505" s="7" t="n">
        <f aca="false">IF(Q505=0,0,T505/Q505)</f>
        <v>0.449244060475162</v>
      </c>
      <c r="V505" s="5" t="s">
        <v>126</v>
      </c>
      <c r="W505" s="5" t="s">
        <v>177</v>
      </c>
      <c r="X505" s="5" t="s">
        <v>185</v>
      </c>
    </row>
    <row r="506" customFormat="false" ht="15" hidden="false" customHeight="false" outlineLevel="0" collapsed="false">
      <c r="A506" s="2" t="n">
        <v>505</v>
      </c>
      <c r="B506" s="2" t="s">
        <v>491</v>
      </c>
      <c r="C506" s="12" t="n">
        <v>46183</v>
      </c>
      <c r="D506" s="2" t="s">
        <v>127</v>
      </c>
      <c r="E506" s="2" t="s">
        <v>89</v>
      </c>
      <c r="F506" s="2" t="s">
        <v>90</v>
      </c>
      <c r="G506" s="2" t="s">
        <v>91</v>
      </c>
      <c r="H506" s="2" t="s">
        <v>86</v>
      </c>
      <c r="I506" s="9" t="n">
        <v>5</v>
      </c>
      <c r="J506" s="3" t="n">
        <v>4.99</v>
      </c>
      <c r="K506" s="3" t="n">
        <v>24.95</v>
      </c>
      <c r="L506" s="4" t="n">
        <v>0</v>
      </c>
      <c r="M506" s="3" t="n">
        <v>0</v>
      </c>
      <c r="N506" s="3" t="n">
        <v>0</v>
      </c>
      <c r="O506" s="3" t="n">
        <f aca="false">K506-M506-N506</f>
        <v>24.95</v>
      </c>
      <c r="P506" s="4" t="n">
        <v>0.1</v>
      </c>
      <c r="Q506" s="3" t="n">
        <v>22.68</v>
      </c>
      <c r="R506" s="3" t="n">
        <f aca="false">O506-Q506</f>
        <v>2.27</v>
      </c>
      <c r="S506" s="3" t="n">
        <v>11.5</v>
      </c>
      <c r="T506" s="3" t="n">
        <f aca="false">Q506-S506</f>
        <v>11.18</v>
      </c>
      <c r="U506" s="4" t="n">
        <f aca="false">IF(Q506=0,0,T506/Q506)</f>
        <v>0.49294532627866</v>
      </c>
      <c r="V506" s="2" t="s">
        <v>148</v>
      </c>
      <c r="W506" s="2" t="s">
        <v>136</v>
      </c>
      <c r="X506" s="2" t="s">
        <v>176</v>
      </c>
    </row>
    <row r="507" customFormat="false" ht="15" hidden="false" customHeight="false" outlineLevel="0" collapsed="false">
      <c r="A507" s="5" t="n">
        <v>506</v>
      </c>
      <c r="B507" s="5" t="s">
        <v>491</v>
      </c>
      <c r="C507" s="13" t="n">
        <v>46183</v>
      </c>
      <c r="D507" s="5" t="s">
        <v>127</v>
      </c>
      <c r="E507" s="5" t="s">
        <v>63</v>
      </c>
      <c r="F507" s="5" t="s">
        <v>64</v>
      </c>
      <c r="G507" s="5" t="s">
        <v>65</v>
      </c>
      <c r="H507" s="5" t="s">
        <v>66</v>
      </c>
      <c r="I507" s="11" t="n">
        <v>1</v>
      </c>
      <c r="J507" s="6" t="n">
        <v>139</v>
      </c>
      <c r="K507" s="6" t="n">
        <v>139</v>
      </c>
      <c r="L507" s="7" t="n">
        <v>0.1</v>
      </c>
      <c r="M507" s="6" t="n">
        <v>13.9</v>
      </c>
      <c r="N507" s="6" t="n">
        <v>0</v>
      </c>
      <c r="O507" s="6" t="n">
        <f aca="false">K507-M507-N507</f>
        <v>125.1</v>
      </c>
      <c r="P507" s="7" t="n">
        <v>0.21</v>
      </c>
      <c r="Q507" s="6" t="n">
        <v>103.39</v>
      </c>
      <c r="R507" s="6" t="n">
        <f aca="false">O507-Q507</f>
        <v>21.71</v>
      </c>
      <c r="S507" s="6" t="n">
        <v>62</v>
      </c>
      <c r="T507" s="6" t="n">
        <f aca="false">Q507-S507</f>
        <v>41.39</v>
      </c>
      <c r="U507" s="7" t="n">
        <f aca="false">IF(Q507=0,0,T507/Q507)</f>
        <v>0.400328851919915</v>
      </c>
      <c r="V507" s="5" t="s">
        <v>148</v>
      </c>
      <c r="W507" s="5" t="s">
        <v>136</v>
      </c>
      <c r="X507" s="5" t="s">
        <v>176</v>
      </c>
    </row>
    <row r="508" customFormat="false" ht="15" hidden="false" customHeight="false" outlineLevel="0" collapsed="false">
      <c r="A508" s="2" t="n">
        <v>507</v>
      </c>
      <c r="B508" s="2" t="s">
        <v>491</v>
      </c>
      <c r="C508" s="12" t="n">
        <v>46183</v>
      </c>
      <c r="D508" s="2" t="s">
        <v>127</v>
      </c>
      <c r="E508" s="2" t="s">
        <v>75</v>
      </c>
      <c r="F508" s="2" t="s">
        <v>76</v>
      </c>
      <c r="G508" s="2" t="s">
        <v>71</v>
      </c>
      <c r="H508" s="2" t="s">
        <v>72</v>
      </c>
      <c r="I508" s="9" t="n">
        <v>1</v>
      </c>
      <c r="J508" s="3" t="n">
        <v>449</v>
      </c>
      <c r="K508" s="3" t="n">
        <v>449</v>
      </c>
      <c r="L508" s="4" t="n">
        <v>0.15</v>
      </c>
      <c r="M508" s="3" t="n">
        <v>67.35</v>
      </c>
      <c r="N508" s="3" t="n">
        <v>0</v>
      </c>
      <c r="O508" s="3" t="n">
        <f aca="false">K508-M508-N508</f>
        <v>381.65</v>
      </c>
      <c r="P508" s="4" t="n">
        <v>0.21</v>
      </c>
      <c r="Q508" s="3" t="n">
        <v>315.41</v>
      </c>
      <c r="R508" s="3" t="n">
        <f aca="false">O508-Q508</f>
        <v>66.24</v>
      </c>
      <c r="S508" s="3" t="n">
        <v>360</v>
      </c>
      <c r="T508" s="3" t="n">
        <f aca="false">Q508-S508</f>
        <v>-44.59</v>
      </c>
      <c r="U508" s="4" t="n">
        <f aca="false">IF(Q508=0,0,T508/Q508)</f>
        <v>-0.141371548143686</v>
      </c>
      <c r="V508" s="2" t="s">
        <v>148</v>
      </c>
      <c r="W508" s="2" t="s">
        <v>136</v>
      </c>
      <c r="X508" s="2" t="s">
        <v>176</v>
      </c>
    </row>
    <row r="509" customFormat="false" ht="15" hidden="false" customHeight="false" outlineLevel="0" collapsed="false">
      <c r="A509" s="5" t="n">
        <v>508</v>
      </c>
      <c r="B509" s="5" t="s">
        <v>492</v>
      </c>
      <c r="C509" s="13" t="n">
        <v>46184</v>
      </c>
      <c r="D509" s="5" t="s">
        <v>173</v>
      </c>
      <c r="E509" s="5" t="s">
        <v>69</v>
      </c>
      <c r="F509" s="5" t="s">
        <v>70</v>
      </c>
      <c r="G509" s="5" t="s">
        <v>71</v>
      </c>
      <c r="H509" s="5" t="s">
        <v>72</v>
      </c>
      <c r="I509" s="11" t="n">
        <v>2</v>
      </c>
      <c r="J509" s="6" t="n">
        <v>22.9</v>
      </c>
      <c r="K509" s="6" t="n">
        <v>45.8</v>
      </c>
      <c r="L509" s="7" t="n">
        <v>0</v>
      </c>
      <c r="M509" s="6" t="n">
        <v>0</v>
      </c>
      <c r="N509" s="6" t="n">
        <v>4.58</v>
      </c>
      <c r="O509" s="6" t="n">
        <f aca="false">K509-M509-N509</f>
        <v>41.22</v>
      </c>
      <c r="P509" s="7" t="n">
        <v>0.21</v>
      </c>
      <c r="Q509" s="6" t="n">
        <v>34.07</v>
      </c>
      <c r="R509" s="6" t="n">
        <f aca="false">O509-Q509</f>
        <v>7.15</v>
      </c>
      <c r="S509" s="6" t="n">
        <v>16</v>
      </c>
      <c r="T509" s="6" t="n">
        <f aca="false">Q509-S509</f>
        <v>18.07</v>
      </c>
      <c r="U509" s="7" t="n">
        <f aca="false">IF(Q509=0,0,T509/Q509)</f>
        <v>0.530378632227766</v>
      </c>
      <c r="V509" s="5" t="s">
        <v>138</v>
      </c>
      <c r="W509" s="5" t="s">
        <v>156</v>
      </c>
      <c r="X509" s="5" t="s">
        <v>132</v>
      </c>
    </row>
    <row r="510" customFormat="false" ht="15" hidden="false" customHeight="false" outlineLevel="0" collapsed="false">
      <c r="A510" s="2" t="n">
        <v>509</v>
      </c>
      <c r="B510" s="2" t="s">
        <v>492</v>
      </c>
      <c r="C510" s="12" t="n">
        <v>46184</v>
      </c>
      <c r="D510" s="2" t="s">
        <v>173</v>
      </c>
      <c r="E510" s="2" t="s">
        <v>63</v>
      </c>
      <c r="F510" s="2" t="s">
        <v>64</v>
      </c>
      <c r="G510" s="2" t="s">
        <v>65</v>
      </c>
      <c r="H510" s="2" t="s">
        <v>66</v>
      </c>
      <c r="I510" s="9" t="n">
        <v>1</v>
      </c>
      <c r="J510" s="3" t="n">
        <v>139</v>
      </c>
      <c r="K510" s="3" t="n">
        <v>139</v>
      </c>
      <c r="L510" s="4" t="n">
        <v>0</v>
      </c>
      <c r="M510" s="3" t="n">
        <v>0</v>
      </c>
      <c r="N510" s="3" t="n">
        <v>13.9</v>
      </c>
      <c r="O510" s="3" t="n">
        <f aca="false">K510-M510-N510</f>
        <v>125.1</v>
      </c>
      <c r="P510" s="4" t="n">
        <v>0.21</v>
      </c>
      <c r="Q510" s="3" t="n">
        <v>103.39</v>
      </c>
      <c r="R510" s="3" t="n">
        <f aca="false">O510-Q510</f>
        <v>21.71</v>
      </c>
      <c r="S510" s="3" t="n">
        <v>62</v>
      </c>
      <c r="T510" s="3" t="n">
        <f aca="false">Q510-S510</f>
        <v>41.39</v>
      </c>
      <c r="U510" s="4" t="n">
        <f aca="false">IF(Q510=0,0,T510/Q510)</f>
        <v>0.400328851919915</v>
      </c>
      <c r="V510" s="2" t="s">
        <v>138</v>
      </c>
      <c r="W510" s="2" t="s">
        <v>156</v>
      </c>
      <c r="X510" s="2" t="s">
        <v>132</v>
      </c>
    </row>
    <row r="511" customFormat="false" ht="15" hidden="false" customHeight="false" outlineLevel="0" collapsed="false">
      <c r="A511" s="5" t="n">
        <v>510</v>
      </c>
      <c r="B511" s="5" t="s">
        <v>493</v>
      </c>
      <c r="C511" s="13" t="n">
        <v>46185</v>
      </c>
      <c r="D511" s="5" t="s">
        <v>179</v>
      </c>
      <c r="E511" s="5" t="s">
        <v>42</v>
      </c>
      <c r="F511" s="5" t="s">
        <v>43</v>
      </c>
      <c r="G511" s="5" t="s">
        <v>44</v>
      </c>
      <c r="H511" s="5" t="s">
        <v>39</v>
      </c>
      <c r="I511" s="11" t="n">
        <v>6</v>
      </c>
      <c r="J511" s="6" t="n">
        <v>24.9</v>
      </c>
      <c r="K511" s="6" t="n">
        <v>149.4</v>
      </c>
      <c r="L511" s="7" t="n">
        <v>0.05</v>
      </c>
      <c r="M511" s="6" t="n">
        <v>7.47</v>
      </c>
      <c r="N511" s="6" t="n">
        <v>28.39</v>
      </c>
      <c r="O511" s="6" t="n">
        <f aca="false">K511-M511-N511</f>
        <v>113.54</v>
      </c>
      <c r="P511" s="7" t="n">
        <v>0.21</v>
      </c>
      <c r="Q511" s="6" t="n">
        <v>93.83</v>
      </c>
      <c r="R511" s="6" t="n">
        <f aca="false">O511-Q511</f>
        <v>19.71</v>
      </c>
      <c r="S511" s="6" t="n">
        <v>51</v>
      </c>
      <c r="T511" s="6" t="n">
        <f aca="false">Q511-S511</f>
        <v>42.83</v>
      </c>
      <c r="U511" s="7" t="n">
        <f aca="false">IF(Q511=0,0,T511/Q511)</f>
        <v>0.456463817542364</v>
      </c>
      <c r="V511" s="5" t="s">
        <v>126</v>
      </c>
      <c r="W511" s="5" t="s">
        <v>154</v>
      </c>
      <c r="X511" s="5" t="s">
        <v>132</v>
      </c>
    </row>
    <row r="512" customFormat="false" ht="15" hidden="false" customHeight="false" outlineLevel="0" collapsed="false">
      <c r="A512" s="2" t="n">
        <v>511</v>
      </c>
      <c r="B512" s="2" t="s">
        <v>494</v>
      </c>
      <c r="C512" s="12" t="n">
        <v>46186</v>
      </c>
      <c r="D512" s="2" t="s">
        <v>217</v>
      </c>
      <c r="E512" s="2" t="s">
        <v>61</v>
      </c>
      <c r="F512" s="2" t="s">
        <v>62</v>
      </c>
      <c r="G512" s="2" t="s">
        <v>59</v>
      </c>
      <c r="H512" s="2" t="s">
        <v>60</v>
      </c>
      <c r="I512" s="9" t="n">
        <v>1</v>
      </c>
      <c r="J512" s="3" t="n">
        <v>18.9</v>
      </c>
      <c r="K512" s="3" t="n">
        <v>18.9</v>
      </c>
      <c r="L512" s="4" t="n">
        <v>0</v>
      </c>
      <c r="M512" s="3" t="n">
        <v>0</v>
      </c>
      <c r="N512" s="3" t="n">
        <v>0</v>
      </c>
      <c r="O512" s="3" t="n">
        <f aca="false">K512-M512-N512</f>
        <v>18.9</v>
      </c>
      <c r="P512" s="4" t="n">
        <v>0.21</v>
      </c>
      <c r="Q512" s="3" t="n">
        <v>15.62</v>
      </c>
      <c r="R512" s="3" t="n">
        <f aca="false">O512-Q512</f>
        <v>3.28</v>
      </c>
      <c r="S512" s="3" t="n">
        <v>6.5</v>
      </c>
      <c r="T512" s="3" t="n">
        <f aca="false">Q512-S512</f>
        <v>9.12</v>
      </c>
      <c r="U512" s="4" t="n">
        <f aca="false">IF(Q512=0,0,T512/Q512)</f>
        <v>0.583866837387964</v>
      </c>
      <c r="V512" s="2" t="s">
        <v>126</v>
      </c>
      <c r="W512" s="2" t="s">
        <v>154</v>
      </c>
      <c r="X512" s="2" t="s">
        <v>132</v>
      </c>
    </row>
    <row r="513" customFormat="false" ht="15" hidden="false" customHeight="false" outlineLevel="0" collapsed="false">
      <c r="A513" s="5" t="n">
        <v>512</v>
      </c>
      <c r="B513" s="5" t="s">
        <v>495</v>
      </c>
      <c r="C513" s="13" t="n">
        <v>46188</v>
      </c>
      <c r="D513" s="5" t="s">
        <v>164</v>
      </c>
      <c r="E513" s="5" t="s">
        <v>81</v>
      </c>
      <c r="F513" s="5" t="s">
        <v>82</v>
      </c>
      <c r="G513" s="5" t="s">
        <v>79</v>
      </c>
      <c r="H513" s="5" t="s">
        <v>80</v>
      </c>
      <c r="I513" s="11" t="n">
        <v>3</v>
      </c>
      <c r="J513" s="6" t="n">
        <v>19.9</v>
      </c>
      <c r="K513" s="6" t="n">
        <v>59.7</v>
      </c>
      <c r="L513" s="7" t="n">
        <v>0.05</v>
      </c>
      <c r="M513" s="6" t="n">
        <v>2.98</v>
      </c>
      <c r="N513" s="6" t="n">
        <v>8.51</v>
      </c>
      <c r="O513" s="6" t="n">
        <f aca="false">K513-M513-N513</f>
        <v>48.21</v>
      </c>
      <c r="P513" s="7" t="n">
        <v>0.21</v>
      </c>
      <c r="Q513" s="6" t="n">
        <v>39.84</v>
      </c>
      <c r="R513" s="6" t="n">
        <f aca="false">O513-Q513</f>
        <v>8.37000000000001</v>
      </c>
      <c r="S513" s="6" t="n">
        <v>21</v>
      </c>
      <c r="T513" s="6" t="n">
        <f aca="false">Q513-S513</f>
        <v>18.84</v>
      </c>
      <c r="U513" s="7" t="n">
        <f aca="false">IF(Q513=0,0,T513/Q513)</f>
        <v>0.47289156626506</v>
      </c>
      <c r="V513" s="5" t="s">
        <v>126</v>
      </c>
      <c r="W513" s="5" t="s">
        <v>136</v>
      </c>
      <c r="X513" s="5" t="s">
        <v>132</v>
      </c>
    </row>
    <row r="514" customFormat="false" ht="15" hidden="false" customHeight="false" outlineLevel="0" collapsed="false">
      <c r="A514" s="2" t="n">
        <v>513</v>
      </c>
      <c r="B514" s="2" t="s">
        <v>495</v>
      </c>
      <c r="C514" s="12" t="n">
        <v>46188</v>
      </c>
      <c r="D514" s="2" t="s">
        <v>164</v>
      </c>
      <c r="E514" s="2" t="s">
        <v>40</v>
      </c>
      <c r="F514" s="2" t="s">
        <v>41</v>
      </c>
      <c r="G514" s="2" t="s">
        <v>38</v>
      </c>
      <c r="H514" s="2" t="s">
        <v>39</v>
      </c>
      <c r="I514" s="9" t="n">
        <v>2</v>
      </c>
      <c r="J514" s="3" t="n">
        <v>12.9</v>
      </c>
      <c r="K514" s="3" t="n">
        <v>25.8</v>
      </c>
      <c r="L514" s="4" t="n">
        <v>0.15</v>
      </c>
      <c r="M514" s="3" t="n">
        <v>3.87</v>
      </c>
      <c r="N514" s="3" t="n">
        <v>3.29</v>
      </c>
      <c r="O514" s="3" t="n">
        <f aca="false">K514-M514-N514</f>
        <v>18.64</v>
      </c>
      <c r="P514" s="4" t="n">
        <v>0.21</v>
      </c>
      <c r="Q514" s="3" t="n">
        <v>15.4</v>
      </c>
      <c r="R514" s="3" t="n">
        <f aca="false">O514-Q514</f>
        <v>3.24</v>
      </c>
      <c r="S514" s="3" t="n">
        <v>4.2</v>
      </c>
      <c r="T514" s="3" t="n">
        <f aca="false">Q514-S514</f>
        <v>11.2</v>
      </c>
      <c r="U514" s="4" t="n">
        <f aca="false">IF(Q514=0,0,T514/Q514)</f>
        <v>0.727272727272727</v>
      </c>
      <c r="V514" s="2" t="s">
        <v>126</v>
      </c>
      <c r="W514" s="2" t="s">
        <v>136</v>
      </c>
      <c r="X514" s="2" t="s">
        <v>132</v>
      </c>
    </row>
    <row r="515" customFormat="false" ht="15" hidden="false" customHeight="false" outlineLevel="0" collapsed="false">
      <c r="A515" s="5" t="n">
        <v>514</v>
      </c>
      <c r="B515" s="5" t="s">
        <v>496</v>
      </c>
      <c r="C515" s="13" t="n">
        <v>46188</v>
      </c>
      <c r="D515" s="5" t="s">
        <v>158</v>
      </c>
      <c r="E515" s="5" t="s">
        <v>92</v>
      </c>
      <c r="F515" s="5" t="s">
        <v>93</v>
      </c>
      <c r="G515" s="5" t="s">
        <v>94</v>
      </c>
      <c r="H515" s="5" t="s">
        <v>95</v>
      </c>
      <c r="I515" s="11" t="n">
        <v>3</v>
      </c>
      <c r="J515" s="6" t="n">
        <v>4.49</v>
      </c>
      <c r="K515" s="6" t="n">
        <v>13.47</v>
      </c>
      <c r="L515" s="7" t="n">
        <v>0</v>
      </c>
      <c r="M515" s="6" t="n">
        <v>0</v>
      </c>
      <c r="N515" s="6" t="n">
        <v>0</v>
      </c>
      <c r="O515" s="6" t="n">
        <f aca="false">K515-M515-N515</f>
        <v>13.47</v>
      </c>
      <c r="P515" s="7" t="n">
        <v>0.1</v>
      </c>
      <c r="Q515" s="6" t="n">
        <v>12.25</v>
      </c>
      <c r="R515" s="6" t="n">
        <f aca="false">O515-Q515</f>
        <v>1.22</v>
      </c>
      <c r="S515" s="6" t="n">
        <v>6.3</v>
      </c>
      <c r="T515" s="6" t="n">
        <f aca="false">Q515-S515</f>
        <v>5.95</v>
      </c>
      <c r="U515" s="7" t="n">
        <f aca="false">IF(Q515=0,0,T515/Q515)</f>
        <v>0.485714285714286</v>
      </c>
      <c r="V515" s="5" t="s">
        <v>148</v>
      </c>
      <c r="W515" s="5" t="s">
        <v>154</v>
      </c>
      <c r="X515" s="5" t="s">
        <v>132</v>
      </c>
    </row>
    <row r="516" customFormat="false" ht="15" hidden="false" customHeight="false" outlineLevel="0" collapsed="false">
      <c r="A516" s="2" t="n">
        <v>515</v>
      </c>
      <c r="B516" s="2" t="s">
        <v>497</v>
      </c>
      <c r="C516" s="12" t="n">
        <v>46189</v>
      </c>
      <c r="D516" s="2" t="s">
        <v>202</v>
      </c>
      <c r="E516" s="2" t="s">
        <v>11</v>
      </c>
      <c r="F516" s="2" t="s">
        <v>12</v>
      </c>
      <c r="G516" s="2" t="s">
        <v>13</v>
      </c>
      <c r="H516" s="2" t="s">
        <v>14</v>
      </c>
      <c r="I516" s="9" t="n">
        <v>1</v>
      </c>
      <c r="J516" s="3" t="n">
        <v>89.9</v>
      </c>
      <c r="K516" s="3" t="n">
        <v>89.9</v>
      </c>
      <c r="L516" s="4" t="n">
        <v>0</v>
      </c>
      <c r="M516" s="3" t="n">
        <v>0</v>
      </c>
      <c r="N516" s="3" t="n">
        <v>0</v>
      </c>
      <c r="O516" s="3" t="n">
        <f aca="false">K516-M516-N516</f>
        <v>89.9</v>
      </c>
      <c r="P516" s="4" t="n">
        <v>0.21</v>
      </c>
      <c r="Q516" s="3" t="n">
        <v>74.3</v>
      </c>
      <c r="R516" s="3" t="n">
        <f aca="false">O516-Q516</f>
        <v>15.6</v>
      </c>
      <c r="S516" s="3" t="n">
        <v>38.5</v>
      </c>
      <c r="T516" s="3" t="n">
        <f aca="false">Q516-S516</f>
        <v>35.8</v>
      </c>
      <c r="U516" s="4" t="n">
        <f aca="false">IF(Q516=0,0,T516/Q516)</f>
        <v>0.481830417227456</v>
      </c>
      <c r="V516" s="2" t="s">
        <v>126</v>
      </c>
      <c r="W516" s="2" t="s">
        <v>136</v>
      </c>
      <c r="X516" s="2" t="s">
        <v>132</v>
      </c>
    </row>
    <row r="517" customFormat="false" ht="15" hidden="false" customHeight="false" outlineLevel="0" collapsed="false">
      <c r="A517" s="5" t="n">
        <v>516</v>
      </c>
      <c r="B517" s="5" t="s">
        <v>497</v>
      </c>
      <c r="C517" s="13" t="n">
        <v>46189</v>
      </c>
      <c r="D517" s="5" t="s">
        <v>202</v>
      </c>
      <c r="E517" s="5" t="s">
        <v>73</v>
      </c>
      <c r="F517" s="5" t="s">
        <v>74</v>
      </c>
      <c r="G517" s="5" t="s">
        <v>71</v>
      </c>
      <c r="H517" s="5" t="s">
        <v>72</v>
      </c>
      <c r="I517" s="11" t="n">
        <v>1</v>
      </c>
      <c r="J517" s="6" t="n">
        <v>69.9</v>
      </c>
      <c r="K517" s="6" t="n">
        <v>69.9</v>
      </c>
      <c r="L517" s="7" t="n">
        <v>0</v>
      </c>
      <c r="M517" s="6" t="n">
        <v>0</v>
      </c>
      <c r="N517" s="6" t="n">
        <v>0</v>
      </c>
      <c r="O517" s="6" t="n">
        <f aca="false">K517-M517-N517</f>
        <v>69.9</v>
      </c>
      <c r="P517" s="7" t="n">
        <v>0.21</v>
      </c>
      <c r="Q517" s="6" t="n">
        <v>57.77</v>
      </c>
      <c r="R517" s="6" t="n">
        <f aca="false">O517-Q517</f>
        <v>12.13</v>
      </c>
      <c r="S517" s="6" t="n">
        <v>29</v>
      </c>
      <c r="T517" s="6" t="n">
        <f aca="false">Q517-S517</f>
        <v>28.77</v>
      </c>
      <c r="U517" s="7" t="n">
        <f aca="false">IF(Q517=0,0,T517/Q517)</f>
        <v>0.498009347412152</v>
      </c>
      <c r="V517" s="5" t="s">
        <v>126</v>
      </c>
      <c r="W517" s="5" t="s">
        <v>136</v>
      </c>
      <c r="X517" s="5" t="s">
        <v>132</v>
      </c>
    </row>
    <row r="518" customFormat="false" ht="15" hidden="false" customHeight="false" outlineLevel="0" collapsed="false">
      <c r="A518" s="2" t="n">
        <v>517</v>
      </c>
      <c r="B518" s="2" t="s">
        <v>498</v>
      </c>
      <c r="C518" s="12" t="n">
        <v>46190</v>
      </c>
      <c r="D518" s="2" t="s">
        <v>188</v>
      </c>
      <c r="E518" s="2" t="s">
        <v>83</v>
      </c>
      <c r="F518" s="2" t="s">
        <v>84</v>
      </c>
      <c r="G518" s="2" t="s">
        <v>85</v>
      </c>
      <c r="H518" s="2" t="s">
        <v>86</v>
      </c>
      <c r="I518" s="9" t="n">
        <v>1</v>
      </c>
      <c r="J518" s="3" t="n">
        <v>3.9</v>
      </c>
      <c r="K518" s="3" t="n">
        <v>3.9</v>
      </c>
      <c r="L518" s="4" t="n">
        <v>0.05</v>
      </c>
      <c r="M518" s="3" t="n">
        <v>0.2</v>
      </c>
      <c r="N518" s="3" t="n">
        <v>0.74</v>
      </c>
      <c r="O518" s="3" t="n">
        <f aca="false">K518-M518-N518</f>
        <v>2.96</v>
      </c>
      <c r="P518" s="4" t="n">
        <v>0.1</v>
      </c>
      <c r="Q518" s="3" t="n">
        <v>2.69</v>
      </c>
      <c r="R518" s="3" t="n">
        <f aca="false">O518-Q518</f>
        <v>0.27</v>
      </c>
      <c r="S518" s="3" t="n">
        <v>2.5</v>
      </c>
      <c r="T518" s="3" t="n">
        <f aca="false">Q518-S518</f>
        <v>0.19</v>
      </c>
      <c r="U518" s="4" t="n">
        <f aca="false">IF(Q518=0,0,T518/Q518)</f>
        <v>0.070631970260223</v>
      </c>
      <c r="V518" s="2" t="s">
        <v>126</v>
      </c>
      <c r="W518" s="2" t="s">
        <v>156</v>
      </c>
      <c r="X518" s="2" t="s">
        <v>132</v>
      </c>
    </row>
    <row r="519" customFormat="false" ht="15" hidden="false" customHeight="false" outlineLevel="0" collapsed="false">
      <c r="A519" s="5" t="n">
        <v>518</v>
      </c>
      <c r="B519" s="5" t="s">
        <v>499</v>
      </c>
      <c r="C519" s="13" t="n">
        <v>46191</v>
      </c>
      <c r="D519" s="5" t="s">
        <v>217</v>
      </c>
      <c r="E519" s="5" t="s">
        <v>87</v>
      </c>
      <c r="F519" s="5" t="s">
        <v>88</v>
      </c>
      <c r="G519" s="5" t="s">
        <v>85</v>
      </c>
      <c r="H519" s="5" t="s">
        <v>86</v>
      </c>
      <c r="I519" s="11" t="n">
        <v>2</v>
      </c>
      <c r="J519" s="6" t="n">
        <v>2.49</v>
      </c>
      <c r="K519" s="6" t="n">
        <v>4.98</v>
      </c>
      <c r="L519" s="7" t="n">
        <v>0</v>
      </c>
      <c r="M519" s="6" t="n">
        <v>0</v>
      </c>
      <c r="N519" s="6" t="n">
        <v>0</v>
      </c>
      <c r="O519" s="6" t="n">
        <f aca="false">K519-M519-N519</f>
        <v>4.98</v>
      </c>
      <c r="P519" s="7" t="n">
        <v>0.1</v>
      </c>
      <c r="Q519" s="6" t="n">
        <v>4.53</v>
      </c>
      <c r="R519" s="6" t="n">
        <f aca="false">O519-Q519</f>
        <v>0.45</v>
      </c>
      <c r="S519" s="6" t="n">
        <v>3</v>
      </c>
      <c r="T519" s="6" t="n">
        <f aca="false">Q519-S519</f>
        <v>1.53</v>
      </c>
      <c r="U519" s="7" t="n">
        <f aca="false">IF(Q519=0,0,T519/Q519)</f>
        <v>0.337748344370861</v>
      </c>
      <c r="V519" s="5" t="s">
        <v>138</v>
      </c>
      <c r="W519" s="5" t="s">
        <v>154</v>
      </c>
      <c r="X519" s="5" t="s">
        <v>132</v>
      </c>
    </row>
    <row r="520" customFormat="false" ht="15" hidden="false" customHeight="false" outlineLevel="0" collapsed="false">
      <c r="A520" s="2" t="n">
        <v>519</v>
      </c>
      <c r="B520" s="2" t="s">
        <v>499</v>
      </c>
      <c r="C520" s="12" t="n">
        <v>46191</v>
      </c>
      <c r="D520" s="2" t="s">
        <v>217</v>
      </c>
      <c r="E520" s="2" t="s">
        <v>96</v>
      </c>
      <c r="F520" s="2" t="s">
        <v>97</v>
      </c>
      <c r="G520" s="2" t="s">
        <v>94</v>
      </c>
      <c r="H520" s="2" t="s">
        <v>95</v>
      </c>
      <c r="I520" s="9" t="n">
        <v>3</v>
      </c>
      <c r="J520" s="3" t="n">
        <v>7.99</v>
      </c>
      <c r="K520" s="3" t="n">
        <v>23.97</v>
      </c>
      <c r="L520" s="4" t="n">
        <v>0</v>
      </c>
      <c r="M520" s="3" t="n">
        <v>0</v>
      </c>
      <c r="N520" s="3" t="n">
        <v>0</v>
      </c>
      <c r="O520" s="3" t="n">
        <f aca="false">K520-M520-N520</f>
        <v>23.97</v>
      </c>
      <c r="P520" s="4" t="n">
        <v>0.1</v>
      </c>
      <c r="Q520" s="3" t="n">
        <v>21.79</v>
      </c>
      <c r="R520" s="3" t="n">
        <f aca="false">O520-Q520</f>
        <v>2.18</v>
      </c>
      <c r="S520" s="3" t="n">
        <v>10.2</v>
      </c>
      <c r="T520" s="3" t="n">
        <f aca="false">Q520-S520</f>
        <v>11.59</v>
      </c>
      <c r="U520" s="4" t="n">
        <f aca="false">IF(Q520=0,0,T520/Q520)</f>
        <v>0.53189536484626</v>
      </c>
      <c r="V520" s="2" t="s">
        <v>138</v>
      </c>
      <c r="W520" s="2" t="s">
        <v>154</v>
      </c>
      <c r="X520" s="2" t="s">
        <v>132</v>
      </c>
    </row>
    <row r="521" customFormat="false" ht="15" hidden="false" customHeight="false" outlineLevel="0" collapsed="false">
      <c r="A521" s="5" t="n">
        <v>520</v>
      </c>
      <c r="B521" s="5" t="s">
        <v>499</v>
      </c>
      <c r="C521" s="13" t="n">
        <v>46191</v>
      </c>
      <c r="D521" s="5" t="s">
        <v>217</v>
      </c>
      <c r="E521" s="5" t="s">
        <v>36</v>
      </c>
      <c r="F521" s="5" t="s">
        <v>37</v>
      </c>
      <c r="G521" s="5" t="s">
        <v>38</v>
      </c>
      <c r="H521" s="5" t="s">
        <v>39</v>
      </c>
      <c r="I521" s="11" t="n">
        <v>1</v>
      </c>
      <c r="J521" s="6" t="n">
        <v>399</v>
      </c>
      <c r="K521" s="6" t="n">
        <v>399</v>
      </c>
      <c r="L521" s="7" t="n">
        <v>0</v>
      </c>
      <c r="M521" s="6" t="n">
        <v>0</v>
      </c>
      <c r="N521" s="6" t="n">
        <v>0</v>
      </c>
      <c r="O521" s="6" t="n">
        <f aca="false">K521-M521-N521</f>
        <v>399</v>
      </c>
      <c r="P521" s="7" t="n">
        <v>0.21</v>
      </c>
      <c r="Q521" s="6" t="n">
        <v>329.75</v>
      </c>
      <c r="R521" s="6" t="n">
        <f aca="false">O521-Q521</f>
        <v>69.25</v>
      </c>
      <c r="S521" s="6" t="n">
        <v>265</v>
      </c>
      <c r="T521" s="6" t="n">
        <f aca="false">Q521-S521</f>
        <v>64.75</v>
      </c>
      <c r="U521" s="7" t="n">
        <f aca="false">IF(Q521=0,0,T521/Q521)</f>
        <v>0.196360879454132</v>
      </c>
      <c r="V521" s="5" t="s">
        <v>138</v>
      </c>
      <c r="W521" s="5" t="s">
        <v>154</v>
      </c>
      <c r="X521" s="5" t="s">
        <v>132</v>
      </c>
    </row>
    <row r="522" customFormat="false" ht="15" hidden="false" customHeight="false" outlineLevel="0" collapsed="false">
      <c r="A522" s="2" t="n">
        <v>521</v>
      </c>
      <c r="B522" s="2" t="s">
        <v>500</v>
      </c>
      <c r="C522" s="12" t="n">
        <v>46191</v>
      </c>
      <c r="D522" s="2" t="s">
        <v>149</v>
      </c>
      <c r="E522" s="2" t="s">
        <v>57</v>
      </c>
      <c r="F522" s="2" t="s">
        <v>58</v>
      </c>
      <c r="G522" s="2" t="s">
        <v>59</v>
      </c>
      <c r="H522" s="2" t="s">
        <v>60</v>
      </c>
      <c r="I522" s="9" t="n">
        <v>1</v>
      </c>
      <c r="J522" s="3" t="n">
        <v>39.9</v>
      </c>
      <c r="K522" s="3" t="n">
        <v>39.9</v>
      </c>
      <c r="L522" s="4" t="n">
        <v>0</v>
      </c>
      <c r="M522" s="3" t="n">
        <v>0</v>
      </c>
      <c r="N522" s="3" t="n">
        <v>7.98</v>
      </c>
      <c r="O522" s="3" t="n">
        <f aca="false">K522-M522-N522</f>
        <v>31.92</v>
      </c>
      <c r="P522" s="4" t="n">
        <v>0.21</v>
      </c>
      <c r="Q522" s="3" t="n">
        <v>26.38</v>
      </c>
      <c r="R522" s="3" t="n">
        <f aca="false">O522-Q522</f>
        <v>5.54</v>
      </c>
      <c r="S522" s="3" t="n">
        <v>16</v>
      </c>
      <c r="T522" s="3" t="n">
        <f aca="false">Q522-S522</f>
        <v>10.38</v>
      </c>
      <c r="U522" s="4" t="n">
        <f aca="false">IF(Q522=0,0,T522/Q522)</f>
        <v>0.393479909021986</v>
      </c>
      <c r="V522" s="2" t="s">
        <v>126</v>
      </c>
      <c r="W522" s="2" t="s">
        <v>154</v>
      </c>
      <c r="X522" s="2" t="s">
        <v>185</v>
      </c>
    </row>
    <row r="523" customFormat="false" ht="15" hidden="false" customHeight="false" outlineLevel="0" collapsed="false">
      <c r="A523" s="5" t="n">
        <v>522</v>
      </c>
      <c r="B523" s="5" t="s">
        <v>501</v>
      </c>
      <c r="C523" s="13" t="n">
        <v>46194</v>
      </c>
      <c r="D523" s="5" t="s">
        <v>179</v>
      </c>
      <c r="E523" s="5" t="s">
        <v>87</v>
      </c>
      <c r="F523" s="5" t="s">
        <v>88</v>
      </c>
      <c r="G523" s="5" t="s">
        <v>85</v>
      </c>
      <c r="H523" s="5" t="s">
        <v>86</v>
      </c>
      <c r="I523" s="11" t="n">
        <v>3</v>
      </c>
      <c r="J523" s="6" t="n">
        <v>2.49</v>
      </c>
      <c r="K523" s="6" t="n">
        <v>7.47</v>
      </c>
      <c r="L523" s="7" t="n">
        <v>0</v>
      </c>
      <c r="M523" s="6" t="n">
        <v>0</v>
      </c>
      <c r="N523" s="6" t="n">
        <v>0</v>
      </c>
      <c r="O523" s="6" t="n">
        <f aca="false">K523-M523-N523</f>
        <v>7.47</v>
      </c>
      <c r="P523" s="7" t="n">
        <v>0.1</v>
      </c>
      <c r="Q523" s="6" t="n">
        <v>6.79</v>
      </c>
      <c r="R523" s="6" t="n">
        <f aca="false">O523-Q523</f>
        <v>0.68</v>
      </c>
      <c r="S523" s="6" t="n">
        <v>4.5</v>
      </c>
      <c r="T523" s="6" t="n">
        <f aca="false">Q523-S523</f>
        <v>2.29</v>
      </c>
      <c r="U523" s="7" t="n">
        <f aca="false">IF(Q523=0,0,T523/Q523)</f>
        <v>0.337260677466863</v>
      </c>
      <c r="V523" s="5" t="s">
        <v>126</v>
      </c>
      <c r="W523" s="5" t="s">
        <v>156</v>
      </c>
      <c r="X523" s="5" t="s">
        <v>132</v>
      </c>
    </row>
    <row r="524" customFormat="false" ht="15" hidden="false" customHeight="false" outlineLevel="0" collapsed="false">
      <c r="A524" s="2" t="n">
        <v>523</v>
      </c>
      <c r="B524" s="2" t="s">
        <v>501</v>
      </c>
      <c r="C524" s="12" t="n">
        <v>46194</v>
      </c>
      <c r="D524" s="2" t="s">
        <v>179</v>
      </c>
      <c r="E524" s="2" t="s">
        <v>42</v>
      </c>
      <c r="F524" s="2" t="s">
        <v>43</v>
      </c>
      <c r="G524" s="2" t="s">
        <v>44</v>
      </c>
      <c r="H524" s="2" t="s">
        <v>39</v>
      </c>
      <c r="I524" s="9" t="n">
        <v>2</v>
      </c>
      <c r="J524" s="3" t="n">
        <v>24.9</v>
      </c>
      <c r="K524" s="3" t="n">
        <v>49.8</v>
      </c>
      <c r="L524" s="4" t="n">
        <v>0</v>
      </c>
      <c r="M524" s="3" t="n">
        <v>0</v>
      </c>
      <c r="N524" s="3" t="n">
        <v>0</v>
      </c>
      <c r="O524" s="3" t="n">
        <f aca="false">K524-M524-N524</f>
        <v>49.8</v>
      </c>
      <c r="P524" s="4" t="n">
        <v>0.21</v>
      </c>
      <c r="Q524" s="3" t="n">
        <v>41.16</v>
      </c>
      <c r="R524" s="3" t="n">
        <f aca="false">O524-Q524</f>
        <v>8.64</v>
      </c>
      <c r="S524" s="3" t="n">
        <v>17</v>
      </c>
      <c r="T524" s="3" t="n">
        <f aca="false">Q524-S524</f>
        <v>24.16</v>
      </c>
      <c r="U524" s="4" t="n">
        <f aca="false">IF(Q524=0,0,T524/Q524)</f>
        <v>0.586977648202138</v>
      </c>
      <c r="V524" s="2" t="s">
        <v>126</v>
      </c>
      <c r="W524" s="2" t="s">
        <v>156</v>
      </c>
      <c r="X524" s="2" t="s">
        <v>132</v>
      </c>
    </row>
    <row r="525" customFormat="false" ht="15" hidden="false" customHeight="false" outlineLevel="0" collapsed="false">
      <c r="A525" s="5" t="n">
        <v>524</v>
      </c>
      <c r="B525" s="5" t="s">
        <v>502</v>
      </c>
      <c r="C525" s="13" t="n">
        <v>46195</v>
      </c>
      <c r="D525" s="5" t="s">
        <v>223</v>
      </c>
      <c r="E525" s="5" t="s">
        <v>75</v>
      </c>
      <c r="F525" s="5" t="s">
        <v>76</v>
      </c>
      <c r="G525" s="5" t="s">
        <v>71</v>
      </c>
      <c r="H525" s="5" t="s">
        <v>72</v>
      </c>
      <c r="I525" s="11" t="n">
        <v>1</v>
      </c>
      <c r="J525" s="6" t="n">
        <v>449</v>
      </c>
      <c r="K525" s="6" t="n">
        <v>449</v>
      </c>
      <c r="L525" s="7" t="n">
        <v>0.1</v>
      </c>
      <c r="M525" s="6" t="n">
        <v>44.9</v>
      </c>
      <c r="N525" s="6" t="n">
        <v>80.82</v>
      </c>
      <c r="O525" s="6" t="n">
        <f aca="false">K525-M525-N525</f>
        <v>323.28</v>
      </c>
      <c r="P525" s="7" t="n">
        <v>0.21</v>
      </c>
      <c r="Q525" s="6" t="n">
        <v>267.17</v>
      </c>
      <c r="R525" s="6" t="n">
        <f aca="false">O525-Q525</f>
        <v>56.11</v>
      </c>
      <c r="S525" s="6" t="n">
        <v>360</v>
      </c>
      <c r="T525" s="6" t="n">
        <f aca="false">Q525-S525</f>
        <v>-92.83</v>
      </c>
      <c r="U525" s="7" t="n">
        <f aca="false">IF(Q525=0,0,T525/Q525)</f>
        <v>-0.347456675524947</v>
      </c>
      <c r="V525" s="5" t="s">
        <v>148</v>
      </c>
      <c r="W525" s="5" t="s">
        <v>136</v>
      </c>
      <c r="X525" s="5" t="s">
        <v>132</v>
      </c>
    </row>
    <row r="526" customFormat="false" ht="15" hidden="false" customHeight="false" outlineLevel="0" collapsed="false">
      <c r="A526" s="2" t="n">
        <v>525</v>
      </c>
      <c r="B526" s="2" t="s">
        <v>503</v>
      </c>
      <c r="C526" s="12" t="n">
        <v>46196</v>
      </c>
      <c r="D526" s="2" t="s">
        <v>188</v>
      </c>
      <c r="E526" s="2" t="s">
        <v>75</v>
      </c>
      <c r="F526" s="2" t="s">
        <v>76</v>
      </c>
      <c r="G526" s="2" t="s">
        <v>71</v>
      </c>
      <c r="H526" s="2" t="s">
        <v>72</v>
      </c>
      <c r="I526" s="9" t="n">
        <v>6</v>
      </c>
      <c r="J526" s="3" t="n">
        <v>449</v>
      </c>
      <c r="K526" s="3" t="n">
        <v>2694</v>
      </c>
      <c r="L526" s="4" t="n">
        <v>0</v>
      </c>
      <c r="M526" s="3" t="n">
        <v>0</v>
      </c>
      <c r="N526" s="3" t="n">
        <v>0</v>
      </c>
      <c r="O526" s="3" t="n">
        <f aca="false">K526-M526-N526</f>
        <v>2694</v>
      </c>
      <c r="P526" s="4" t="n">
        <v>0.21</v>
      </c>
      <c r="Q526" s="3" t="n">
        <v>2226.45</v>
      </c>
      <c r="R526" s="3" t="n">
        <f aca="false">O526-Q526</f>
        <v>467.55</v>
      </c>
      <c r="S526" s="3" t="n">
        <v>2160</v>
      </c>
      <c r="T526" s="3" t="n">
        <f aca="false">Q526-S526</f>
        <v>66.4499999999998</v>
      </c>
      <c r="U526" s="4" t="n">
        <f aca="false">IF(Q526=0,0,T526/Q526)</f>
        <v>0.0298457185205146</v>
      </c>
      <c r="V526" s="2" t="s">
        <v>148</v>
      </c>
      <c r="W526" s="2" t="s">
        <v>136</v>
      </c>
      <c r="X526" s="2" t="s">
        <v>132</v>
      </c>
    </row>
    <row r="527" customFormat="false" ht="15" hidden="false" customHeight="false" outlineLevel="0" collapsed="false">
      <c r="A527" s="5" t="n">
        <v>526</v>
      </c>
      <c r="B527" s="5" t="s">
        <v>504</v>
      </c>
      <c r="C527" s="13" t="n">
        <v>46200</v>
      </c>
      <c r="D527" s="5" t="s">
        <v>179</v>
      </c>
      <c r="E527" s="5" t="s">
        <v>31</v>
      </c>
      <c r="F527" s="5" t="s">
        <v>32</v>
      </c>
      <c r="G527" s="5" t="s">
        <v>33</v>
      </c>
      <c r="H527" s="5" t="s">
        <v>23</v>
      </c>
      <c r="I527" s="11" t="n">
        <v>1</v>
      </c>
      <c r="J527" s="6" t="n">
        <v>89.9</v>
      </c>
      <c r="K527" s="6" t="n">
        <v>89.9</v>
      </c>
      <c r="L527" s="7" t="n">
        <v>0.05</v>
      </c>
      <c r="M527" s="6" t="n">
        <v>4.5</v>
      </c>
      <c r="N527" s="6" t="n">
        <v>0</v>
      </c>
      <c r="O527" s="6" t="n">
        <f aca="false">K527-M527-N527</f>
        <v>85.4</v>
      </c>
      <c r="P527" s="7" t="n">
        <v>0.21</v>
      </c>
      <c r="Q527" s="6" t="n">
        <v>70.58</v>
      </c>
      <c r="R527" s="6" t="n">
        <f aca="false">O527-Q527</f>
        <v>14.82</v>
      </c>
      <c r="S527" s="6" t="n">
        <v>48</v>
      </c>
      <c r="T527" s="6" t="n">
        <f aca="false">Q527-S527</f>
        <v>22.58</v>
      </c>
      <c r="U527" s="7" t="n">
        <f aca="false">IF(Q527=0,0,T527/Q527)</f>
        <v>0.319920657410031</v>
      </c>
      <c r="V527" s="5" t="s">
        <v>148</v>
      </c>
      <c r="W527" s="5" t="s">
        <v>177</v>
      </c>
      <c r="X527" s="5" t="s">
        <v>132</v>
      </c>
    </row>
    <row r="528" customFormat="false" ht="15" hidden="false" customHeight="false" outlineLevel="0" collapsed="false">
      <c r="A528" s="2" t="n">
        <v>527</v>
      </c>
      <c r="B528" s="2" t="s">
        <v>505</v>
      </c>
      <c r="C528" s="12" t="n">
        <v>46200</v>
      </c>
      <c r="D528" s="2" t="s">
        <v>139</v>
      </c>
      <c r="E528" s="2" t="s">
        <v>75</v>
      </c>
      <c r="F528" s="2" t="s">
        <v>76</v>
      </c>
      <c r="G528" s="2" t="s">
        <v>71</v>
      </c>
      <c r="H528" s="2" t="s">
        <v>72</v>
      </c>
      <c r="I528" s="9" t="n">
        <v>2</v>
      </c>
      <c r="J528" s="3" t="n">
        <v>449</v>
      </c>
      <c r="K528" s="3" t="n">
        <v>898</v>
      </c>
      <c r="L528" s="4" t="n">
        <v>0.1</v>
      </c>
      <c r="M528" s="3" t="n">
        <v>89.8</v>
      </c>
      <c r="N528" s="3" t="n">
        <v>161.64</v>
      </c>
      <c r="O528" s="3" t="n">
        <f aca="false">K528-M528-N528</f>
        <v>646.56</v>
      </c>
      <c r="P528" s="4" t="n">
        <v>0.21</v>
      </c>
      <c r="Q528" s="3" t="n">
        <v>534.35</v>
      </c>
      <c r="R528" s="3" t="n">
        <f aca="false">O528-Q528</f>
        <v>112.21</v>
      </c>
      <c r="S528" s="3" t="n">
        <v>720</v>
      </c>
      <c r="T528" s="3" t="n">
        <f aca="false">Q528-S528</f>
        <v>-185.65</v>
      </c>
      <c r="U528" s="4" t="n">
        <f aca="false">IF(Q528=0,0,T528/Q528)</f>
        <v>-0.347431458781697</v>
      </c>
      <c r="V528" s="2" t="s">
        <v>148</v>
      </c>
      <c r="W528" s="2" t="s">
        <v>154</v>
      </c>
      <c r="X528" s="2" t="s">
        <v>132</v>
      </c>
    </row>
    <row r="529" customFormat="false" ht="15" hidden="false" customHeight="false" outlineLevel="0" collapsed="false">
      <c r="A529" s="5" t="n">
        <v>528</v>
      </c>
      <c r="B529" s="5" t="s">
        <v>505</v>
      </c>
      <c r="C529" s="13" t="n">
        <v>46200</v>
      </c>
      <c r="D529" s="5" t="s">
        <v>139</v>
      </c>
      <c r="E529" s="5" t="s">
        <v>69</v>
      </c>
      <c r="F529" s="5" t="s">
        <v>70</v>
      </c>
      <c r="G529" s="5" t="s">
        <v>71</v>
      </c>
      <c r="H529" s="5" t="s">
        <v>72</v>
      </c>
      <c r="I529" s="11" t="n">
        <v>3</v>
      </c>
      <c r="J529" s="6" t="n">
        <v>22.9</v>
      </c>
      <c r="K529" s="6" t="n">
        <v>68.7</v>
      </c>
      <c r="L529" s="7" t="n">
        <v>0</v>
      </c>
      <c r="M529" s="6" t="n">
        <v>0</v>
      </c>
      <c r="N529" s="6" t="n">
        <v>13.74</v>
      </c>
      <c r="O529" s="6" t="n">
        <f aca="false">K529-M529-N529</f>
        <v>54.96</v>
      </c>
      <c r="P529" s="7" t="n">
        <v>0.21</v>
      </c>
      <c r="Q529" s="6" t="n">
        <v>45.42</v>
      </c>
      <c r="R529" s="6" t="n">
        <f aca="false">O529-Q529</f>
        <v>9.54</v>
      </c>
      <c r="S529" s="6" t="n">
        <v>24</v>
      </c>
      <c r="T529" s="6" t="n">
        <f aca="false">Q529-S529</f>
        <v>21.42</v>
      </c>
      <c r="U529" s="7" t="n">
        <f aca="false">IF(Q529=0,0,T529/Q529)</f>
        <v>0.471598414795244</v>
      </c>
      <c r="V529" s="5" t="s">
        <v>148</v>
      </c>
      <c r="W529" s="5" t="s">
        <v>154</v>
      </c>
      <c r="X529" s="5" t="s">
        <v>132</v>
      </c>
    </row>
    <row r="530" customFormat="false" ht="15" hidden="false" customHeight="false" outlineLevel="0" collapsed="false">
      <c r="A530" s="2" t="n">
        <v>529</v>
      </c>
      <c r="B530" s="2" t="s">
        <v>505</v>
      </c>
      <c r="C530" s="12" t="n">
        <v>46200</v>
      </c>
      <c r="D530" s="2" t="s">
        <v>139</v>
      </c>
      <c r="E530" s="2" t="s">
        <v>73</v>
      </c>
      <c r="F530" s="2" t="s">
        <v>74</v>
      </c>
      <c r="G530" s="2" t="s">
        <v>71</v>
      </c>
      <c r="H530" s="2" t="s">
        <v>72</v>
      </c>
      <c r="I530" s="9" t="n">
        <v>4</v>
      </c>
      <c r="J530" s="3" t="n">
        <v>69.9</v>
      </c>
      <c r="K530" s="3" t="n">
        <v>279.6</v>
      </c>
      <c r="L530" s="4" t="n">
        <v>0</v>
      </c>
      <c r="M530" s="3" t="n">
        <v>0</v>
      </c>
      <c r="N530" s="3" t="n">
        <v>55.92</v>
      </c>
      <c r="O530" s="3" t="n">
        <f aca="false">K530-M530-N530</f>
        <v>223.68</v>
      </c>
      <c r="P530" s="4" t="n">
        <v>0.21</v>
      </c>
      <c r="Q530" s="3" t="n">
        <v>184.86</v>
      </c>
      <c r="R530" s="3" t="n">
        <f aca="false">O530-Q530</f>
        <v>38.82</v>
      </c>
      <c r="S530" s="3" t="n">
        <v>116</v>
      </c>
      <c r="T530" s="3" t="n">
        <f aca="false">Q530-S530</f>
        <v>68.86</v>
      </c>
      <c r="U530" s="4" t="n">
        <f aca="false">IF(Q530=0,0,T530/Q530)</f>
        <v>0.372498106675322</v>
      </c>
      <c r="V530" s="2" t="s">
        <v>148</v>
      </c>
      <c r="W530" s="2" t="s">
        <v>154</v>
      </c>
      <c r="X530" s="2" t="s">
        <v>132</v>
      </c>
    </row>
    <row r="531" customFormat="false" ht="15" hidden="false" customHeight="false" outlineLevel="0" collapsed="false">
      <c r="A531" s="5" t="n">
        <v>530</v>
      </c>
      <c r="B531" s="5" t="s">
        <v>505</v>
      </c>
      <c r="C531" s="13" t="n">
        <v>46200</v>
      </c>
      <c r="D531" s="5" t="s">
        <v>139</v>
      </c>
      <c r="E531" s="5" t="s">
        <v>83</v>
      </c>
      <c r="F531" s="5" t="s">
        <v>84</v>
      </c>
      <c r="G531" s="5" t="s">
        <v>85</v>
      </c>
      <c r="H531" s="5" t="s">
        <v>86</v>
      </c>
      <c r="I531" s="11" t="n">
        <v>1</v>
      </c>
      <c r="J531" s="6" t="n">
        <v>3.9</v>
      </c>
      <c r="K531" s="6" t="n">
        <v>3.9</v>
      </c>
      <c r="L531" s="7" t="n">
        <v>0</v>
      </c>
      <c r="M531" s="6" t="n">
        <v>0</v>
      </c>
      <c r="N531" s="6" t="n">
        <v>0.78</v>
      </c>
      <c r="O531" s="6" t="n">
        <f aca="false">K531-M531-N531</f>
        <v>3.12</v>
      </c>
      <c r="P531" s="7" t="n">
        <v>0.1</v>
      </c>
      <c r="Q531" s="6" t="n">
        <v>2.84</v>
      </c>
      <c r="R531" s="6" t="n">
        <f aca="false">O531-Q531</f>
        <v>0.28</v>
      </c>
      <c r="S531" s="6" t="n">
        <v>2.5</v>
      </c>
      <c r="T531" s="6" t="n">
        <f aca="false">Q531-S531</f>
        <v>0.34</v>
      </c>
      <c r="U531" s="7" t="n">
        <f aca="false">IF(Q531=0,0,T531/Q531)</f>
        <v>0.119718309859155</v>
      </c>
      <c r="V531" s="5" t="s">
        <v>148</v>
      </c>
      <c r="W531" s="5" t="s">
        <v>154</v>
      </c>
      <c r="X531" s="5" t="s">
        <v>132</v>
      </c>
    </row>
    <row r="532" customFormat="false" ht="15" hidden="false" customHeight="false" outlineLevel="0" collapsed="false">
      <c r="A532" s="2" t="n">
        <v>531</v>
      </c>
      <c r="B532" s="2" t="s">
        <v>506</v>
      </c>
      <c r="C532" s="12" t="n">
        <v>46201</v>
      </c>
      <c r="D532" s="2" t="s">
        <v>149</v>
      </c>
      <c r="E532" s="2" t="s">
        <v>57</v>
      </c>
      <c r="F532" s="2" t="s">
        <v>58</v>
      </c>
      <c r="G532" s="2" t="s">
        <v>59</v>
      </c>
      <c r="H532" s="2" t="s">
        <v>60</v>
      </c>
      <c r="I532" s="9" t="n">
        <v>2</v>
      </c>
      <c r="J532" s="3" t="n">
        <v>39.9</v>
      </c>
      <c r="K532" s="3" t="n">
        <v>79.8</v>
      </c>
      <c r="L532" s="4" t="n">
        <v>0</v>
      </c>
      <c r="M532" s="3" t="n">
        <v>0</v>
      </c>
      <c r="N532" s="3" t="n">
        <v>0</v>
      </c>
      <c r="O532" s="3" t="n">
        <f aca="false">K532-M532-N532</f>
        <v>79.8</v>
      </c>
      <c r="P532" s="4" t="n">
        <v>0.21</v>
      </c>
      <c r="Q532" s="3" t="n">
        <v>65.95</v>
      </c>
      <c r="R532" s="3" t="n">
        <f aca="false">O532-Q532</f>
        <v>13.85</v>
      </c>
      <c r="S532" s="3" t="n">
        <v>32</v>
      </c>
      <c r="T532" s="3" t="n">
        <f aca="false">Q532-S532</f>
        <v>33.95</v>
      </c>
      <c r="U532" s="4" t="n">
        <f aca="false">IF(Q532=0,0,T532/Q532)</f>
        <v>0.514783927217589</v>
      </c>
      <c r="V532" s="2" t="s">
        <v>148</v>
      </c>
      <c r="W532" s="2" t="s">
        <v>177</v>
      </c>
      <c r="X532" s="2" t="s">
        <v>132</v>
      </c>
    </row>
    <row r="533" customFormat="false" ht="15" hidden="false" customHeight="false" outlineLevel="0" collapsed="false">
      <c r="A533" s="5" t="n">
        <v>532</v>
      </c>
      <c r="B533" s="5" t="s">
        <v>507</v>
      </c>
      <c r="C533" s="13" t="n">
        <v>46202</v>
      </c>
      <c r="D533" s="5" t="s">
        <v>139</v>
      </c>
      <c r="E533" s="5" t="s">
        <v>47</v>
      </c>
      <c r="F533" s="5" t="s">
        <v>48</v>
      </c>
      <c r="G533" s="5" t="s">
        <v>44</v>
      </c>
      <c r="H533" s="5" t="s">
        <v>39</v>
      </c>
      <c r="I533" s="11" t="n">
        <v>4</v>
      </c>
      <c r="J533" s="6" t="n">
        <v>34.9</v>
      </c>
      <c r="K533" s="6" t="n">
        <v>139.6</v>
      </c>
      <c r="L533" s="7" t="n">
        <v>0</v>
      </c>
      <c r="M533" s="6" t="n">
        <v>0</v>
      </c>
      <c r="N533" s="6" t="n">
        <v>0</v>
      </c>
      <c r="O533" s="6" t="n">
        <f aca="false">K533-M533-N533</f>
        <v>139.6</v>
      </c>
      <c r="P533" s="7" t="n">
        <v>0.21</v>
      </c>
      <c r="Q533" s="6" t="n">
        <v>115.37</v>
      </c>
      <c r="R533" s="6" t="n">
        <f aca="false">O533-Q533</f>
        <v>24.23</v>
      </c>
      <c r="S533" s="6" t="n">
        <v>56</v>
      </c>
      <c r="T533" s="6" t="n">
        <f aca="false">Q533-S533</f>
        <v>59.37</v>
      </c>
      <c r="U533" s="7" t="n">
        <f aca="false">IF(Q533=0,0,T533/Q533)</f>
        <v>0.514605183323221</v>
      </c>
      <c r="V533" s="5" t="s">
        <v>138</v>
      </c>
      <c r="W533" s="5" t="s">
        <v>154</v>
      </c>
      <c r="X533" s="5" t="s">
        <v>132</v>
      </c>
    </row>
    <row r="534" customFormat="false" ht="15" hidden="false" customHeight="false" outlineLevel="0" collapsed="false">
      <c r="A534" s="2" t="n">
        <v>533</v>
      </c>
      <c r="B534" s="2" t="s">
        <v>508</v>
      </c>
      <c r="C534" s="12" t="n">
        <v>46202</v>
      </c>
      <c r="D534" s="2" t="s">
        <v>179</v>
      </c>
      <c r="E534" s="2" t="s">
        <v>49</v>
      </c>
      <c r="F534" s="2" t="s">
        <v>50</v>
      </c>
      <c r="G534" s="2" t="s">
        <v>51</v>
      </c>
      <c r="H534" s="2" t="s">
        <v>52</v>
      </c>
      <c r="I534" s="9" t="n">
        <v>1</v>
      </c>
      <c r="J534" s="3" t="n">
        <v>19.9</v>
      </c>
      <c r="K534" s="3" t="n">
        <v>19.9</v>
      </c>
      <c r="L534" s="4" t="n">
        <v>0</v>
      </c>
      <c r="M534" s="3" t="n">
        <v>0</v>
      </c>
      <c r="N534" s="3" t="n">
        <v>0</v>
      </c>
      <c r="O534" s="3" t="n">
        <f aca="false">K534-M534-N534</f>
        <v>19.9</v>
      </c>
      <c r="P534" s="4" t="n">
        <v>0.21</v>
      </c>
      <c r="Q534" s="3" t="n">
        <v>16.45</v>
      </c>
      <c r="R534" s="3" t="n">
        <f aca="false">O534-Q534</f>
        <v>3.45</v>
      </c>
      <c r="S534" s="3" t="n">
        <v>7.9</v>
      </c>
      <c r="T534" s="3" t="n">
        <f aca="false">Q534-S534</f>
        <v>8.55</v>
      </c>
      <c r="U534" s="4" t="n">
        <f aca="false">IF(Q534=0,0,T534/Q534)</f>
        <v>0.519756838905775</v>
      </c>
      <c r="V534" s="2" t="s">
        <v>126</v>
      </c>
      <c r="W534" s="2" t="s">
        <v>156</v>
      </c>
      <c r="X534" s="2" t="s">
        <v>132</v>
      </c>
    </row>
    <row r="535" customFormat="false" ht="15" hidden="false" customHeight="false" outlineLevel="0" collapsed="false">
      <c r="A535" s="5" t="n">
        <v>534</v>
      </c>
      <c r="B535" s="5" t="s">
        <v>509</v>
      </c>
      <c r="C535" s="13" t="n">
        <v>46203</v>
      </c>
      <c r="D535" s="5" t="s">
        <v>127</v>
      </c>
      <c r="E535" s="5" t="s">
        <v>87</v>
      </c>
      <c r="F535" s="5" t="s">
        <v>88</v>
      </c>
      <c r="G535" s="5" t="s">
        <v>85</v>
      </c>
      <c r="H535" s="5" t="s">
        <v>86</v>
      </c>
      <c r="I535" s="11" t="n">
        <v>3</v>
      </c>
      <c r="J535" s="6" t="n">
        <v>2.49</v>
      </c>
      <c r="K535" s="6" t="n">
        <v>7.47</v>
      </c>
      <c r="L535" s="7" t="n">
        <v>0.05</v>
      </c>
      <c r="M535" s="6" t="n">
        <v>0.37</v>
      </c>
      <c r="N535" s="6" t="n">
        <v>0</v>
      </c>
      <c r="O535" s="6" t="n">
        <f aca="false">K535-M535-N535</f>
        <v>7.1</v>
      </c>
      <c r="P535" s="7" t="n">
        <v>0.1</v>
      </c>
      <c r="Q535" s="6" t="n">
        <v>6.45</v>
      </c>
      <c r="R535" s="6" t="n">
        <f aca="false">O535-Q535</f>
        <v>0.65</v>
      </c>
      <c r="S535" s="6" t="n">
        <v>4.5</v>
      </c>
      <c r="T535" s="6" t="n">
        <f aca="false">Q535-S535</f>
        <v>1.95</v>
      </c>
      <c r="U535" s="7" t="n">
        <f aca="false">IF(Q535=0,0,T535/Q535)</f>
        <v>0.302325581395349</v>
      </c>
      <c r="V535" s="5" t="s">
        <v>172</v>
      </c>
      <c r="W535" s="5" t="s">
        <v>177</v>
      </c>
      <c r="X535" s="5" t="s">
        <v>132</v>
      </c>
    </row>
    <row r="536" customFormat="false" ht="15" hidden="false" customHeight="false" outlineLevel="0" collapsed="false">
      <c r="A536" s="2" t="n">
        <v>535</v>
      </c>
      <c r="B536" s="2" t="s">
        <v>509</v>
      </c>
      <c r="C536" s="12" t="n">
        <v>46203</v>
      </c>
      <c r="D536" s="2" t="s">
        <v>127</v>
      </c>
      <c r="E536" s="2" t="s">
        <v>24</v>
      </c>
      <c r="F536" s="2" t="s">
        <v>25</v>
      </c>
      <c r="G536" s="2" t="s">
        <v>22</v>
      </c>
      <c r="H536" s="2" t="s">
        <v>23</v>
      </c>
      <c r="I536" s="9" t="n">
        <v>1</v>
      </c>
      <c r="J536" s="3" t="n">
        <v>24.9</v>
      </c>
      <c r="K536" s="3" t="n">
        <v>24.9</v>
      </c>
      <c r="L536" s="4" t="n">
        <v>0</v>
      </c>
      <c r="M536" s="3" t="n">
        <v>0</v>
      </c>
      <c r="N536" s="3" t="n">
        <v>0</v>
      </c>
      <c r="O536" s="3" t="n">
        <f aca="false">K536-M536-N536</f>
        <v>24.9</v>
      </c>
      <c r="P536" s="4" t="n">
        <v>0.21</v>
      </c>
      <c r="Q536" s="3" t="n">
        <v>20.58</v>
      </c>
      <c r="R536" s="3" t="n">
        <f aca="false">O536-Q536</f>
        <v>4.32</v>
      </c>
      <c r="S536" s="3" t="n">
        <v>9.8</v>
      </c>
      <c r="T536" s="3" t="n">
        <f aca="false">Q536-S536</f>
        <v>10.78</v>
      </c>
      <c r="U536" s="4" t="n">
        <f aca="false">IF(Q536=0,0,T536/Q536)</f>
        <v>0.523809523809524</v>
      </c>
      <c r="V536" s="2" t="s">
        <v>172</v>
      </c>
      <c r="W536" s="2" t="s">
        <v>177</v>
      </c>
      <c r="X536" s="2" t="s">
        <v>132</v>
      </c>
    </row>
  </sheetData>
  <autoFilter ref="A1:X5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7" min="6" style="0" width="15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5"/>
  </cols>
  <sheetData>
    <row r="1" customFormat="false" ht="30" hidden="false" customHeight="true" outlineLevel="0" collapsed="false">
      <c r="A1" s="1" t="s">
        <v>0</v>
      </c>
      <c r="B1" s="1" t="s">
        <v>511</v>
      </c>
      <c r="C1" s="1" t="s">
        <v>3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9</v>
      </c>
      <c r="K1" s="1" t="s">
        <v>528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14</v>
      </c>
      <c r="D2" s="9" t="n">
        <v>27</v>
      </c>
      <c r="E2" s="9" t="n">
        <v>12</v>
      </c>
      <c r="F2" s="3" t="n">
        <v>2202.55</v>
      </c>
      <c r="G2" s="3" t="n">
        <v>1820.32</v>
      </c>
      <c r="H2" s="3" t="n">
        <v>1039.5</v>
      </c>
      <c r="I2" s="3" t="n">
        <v>780.82</v>
      </c>
      <c r="J2" s="4" t="n">
        <f aca="false">IF(G2=0,0,I2/G2)</f>
        <v>0.428946558846796</v>
      </c>
      <c r="K2" s="3" t="n">
        <f aca="false">IF(D2=0,0,I2/D2)</f>
        <v>28.9192592592593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14</v>
      </c>
      <c r="D3" s="11" t="n">
        <v>25</v>
      </c>
      <c r="E3" s="11" t="n">
        <v>17</v>
      </c>
      <c r="F3" s="6" t="n">
        <v>1278.08</v>
      </c>
      <c r="G3" s="6" t="n">
        <v>1056.26</v>
      </c>
      <c r="H3" s="6" t="n">
        <v>550</v>
      </c>
      <c r="I3" s="6" t="n">
        <v>506.26</v>
      </c>
      <c r="J3" s="7" t="n">
        <f aca="false">IF(G3=0,0,I3/G3)</f>
        <v>0.479294870581107</v>
      </c>
      <c r="K3" s="6" t="n">
        <f aca="false">IF(D3=0,0,I3/D3)</f>
        <v>20.2504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14</v>
      </c>
      <c r="D4" s="9" t="n">
        <v>28</v>
      </c>
      <c r="E4" s="9" t="n">
        <v>14</v>
      </c>
      <c r="F4" s="3" t="n">
        <v>4873.02</v>
      </c>
      <c r="G4" s="3" t="n">
        <v>4027.29</v>
      </c>
      <c r="H4" s="3" t="n">
        <v>2660</v>
      </c>
      <c r="I4" s="3" t="n">
        <v>1367.29</v>
      </c>
      <c r="J4" s="4" t="n">
        <f aca="false">IF(G4=0,0,I4/G4)</f>
        <v>0.339506218822086</v>
      </c>
      <c r="K4" s="3" t="n">
        <f aca="false">IF(D4=0,0,I4/D4)</f>
        <v>48.8317857142857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23</v>
      </c>
      <c r="D5" s="11" t="n">
        <v>26</v>
      </c>
      <c r="E5" s="11" t="n">
        <v>14</v>
      </c>
      <c r="F5" s="6" t="n">
        <v>17841.67</v>
      </c>
      <c r="G5" s="6" t="n">
        <v>14745.19</v>
      </c>
      <c r="H5" s="6" t="n">
        <v>14300</v>
      </c>
      <c r="I5" s="6" t="n">
        <v>445.19</v>
      </c>
      <c r="J5" s="7" t="n">
        <f aca="false">IF(G5=0,0,I5/G5)</f>
        <v>0.0301922186150195</v>
      </c>
      <c r="K5" s="6" t="n">
        <f aca="false">IF(D5=0,0,I5/D5)</f>
        <v>17.1226923076923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23</v>
      </c>
      <c r="D6" s="9" t="n">
        <v>33</v>
      </c>
      <c r="E6" s="9" t="n">
        <v>22</v>
      </c>
      <c r="F6" s="3" t="n">
        <v>760.7</v>
      </c>
      <c r="G6" s="3" t="n">
        <v>628.7</v>
      </c>
      <c r="H6" s="3" t="n">
        <v>323.4</v>
      </c>
      <c r="I6" s="3" t="n">
        <v>305.3</v>
      </c>
      <c r="J6" s="4" t="n">
        <f aca="false">IF(G6=0,0,I6/G6)</f>
        <v>0.485605217114681</v>
      </c>
      <c r="K6" s="3" t="n">
        <f aca="false">IF(D6=0,0,I6/D6)</f>
        <v>9.25151515151515</v>
      </c>
    </row>
    <row r="7" customFormat="false" ht="15" hidden="false" customHeight="false" outlineLevel="0" collapsed="false">
      <c r="A7" s="5" t="s">
        <v>26</v>
      </c>
      <c r="B7" s="5" t="s">
        <v>27</v>
      </c>
      <c r="C7" s="5" t="s">
        <v>23</v>
      </c>
      <c r="D7" s="11" t="n">
        <v>18</v>
      </c>
      <c r="E7" s="11" t="n">
        <v>8</v>
      </c>
      <c r="F7" s="6" t="n">
        <v>1284.78</v>
      </c>
      <c r="G7" s="6" t="n">
        <v>1061.8</v>
      </c>
      <c r="H7" s="6" t="n">
        <v>612</v>
      </c>
      <c r="I7" s="6" t="n">
        <v>449.8</v>
      </c>
      <c r="J7" s="7" t="n">
        <f aca="false">IF(G7=0,0,I7/G7)</f>
        <v>0.423620267470333</v>
      </c>
      <c r="K7" s="6" t="n">
        <f aca="false">IF(D7=0,0,I7/D7)</f>
        <v>24.9888888888889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23</v>
      </c>
      <c r="D8" s="9" t="n">
        <v>18</v>
      </c>
      <c r="E8" s="9" t="n">
        <v>11</v>
      </c>
      <c r="F8" s="3" t="n">
        <v>4573.42</v>
      </c>
      <c r="G8" s="3" t="n">
        <v>3779.68</v>
      </c>
      <c r="H8" s="3" t="n">
        <v>2520</v>
      </c>
      <c r="I8" s="3" t="n">
        <v>1259.68</v>
      </c>
      <c r="J8" s="4" t="n">
        <f aca="false">IF(G8=0,0,I8/G8)</f>
        <v>0.33327689116539</v>
      </c>
      <c r="K8" s="3" t="n">
        <f aca="false">IF(D8=0,0,I8/D8)</f>
        <v>69.9822222222222</v>
      </c>
    </row>
    <row r="9" customFormat="false" ht="15" hidden="false" customHeight="false" outlineLevel="0" collapsed="false">
      <c r="A9" s="5" t="s">
        <v>31</v>
      </c>
      <c r="B9" s="5" t="s">
        <v>32</v>
      </c>
      <c r="C9" s="5" t="s">
        <v>23</v>
      </c>
      <c r="D9" s="11" t="n">
        <v>41</v>
      </c>
      <c r="E9" s="11" t="n">
        <v>23</v>
      </c>
      <c r="F9" s="6" t="n">
        <v>3257.98</v>
      </c>
      <c r="G9" s="6" t="n">
        <v>2692.58</v>
      </c>
      <c r="H9" s="6" t="n">
        <v>1968</v>
      </c>
      <c r="I9" s="6" t="n">
        <v>724.58</v>
      </c>
      <c r="J9" s="7" t="n">
        <f aca="false">IF(G9=0,0,I9/G9)</f>
        <v>0.269102496490355</v>
      </c>
      <c r="K9" s="6" t="n">
        <f aca="false">IF(D9=0,0,I9/D9)</f>
        <v>17.6726829268293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23</v>
      </c>
      <c r="D10" s="9" t="n">
        <v>12</v>
      </c>
      <c r="E10" s="9" t="n">
        <v>11</v>
      </c>
      <c r="F10" s="3" t="n">
        <v>495.24</v>
      </c>
      <c r="G10" s="3" t="n">
        <v>409.31</v>
      </c>
      <c r="H10" s="3" t="n">
        <v>228</v>
      </c>
      <c r="I10" s="3" t="n">
        <v>181.31</v>
      </c>
      <c r="J10" s="4" t="n">
        <f aca="false">IF(G10=0,0,I10/G10)</f>
        <v>0.442964989860986</v>
      </c>
      <c r="K10" s="3" t="n">
        <f aca="false">IF(D10=0,0,I10/D10)</f>
        <v>15.1091666666667</v>
      </c>
    </row>
    <row r="11" customFormat="false" ht="15" hidden="false" customHeight="false" outlineLevel="0" collapsed="false">
      <c r="A11" s="5" t="s">
        <v>36</v>
      </c>
      <c r="B11" s="5" t="s">
        <v>37</v>
      </c>
      <c r="C11" s="5" t="s">
        <v>39</v>
      </c>
      <c r="D11" s="11" t="n">
        <v>8</v>
      </c>
      <c r="E11" s="11" t="n">
        <v>7</v>
      </c>
      <c r="F11" s="6" t="n">
        <v>2872.8</v>
      </c>
      <c r="G11" s="6" t="n">
        <v>2374.2</v>
      </c>
      <c r="H11" s="6" t="n">
        <v>2120</v>
      </c>
      <c r="I11" s="6" t="n">
        <v>254.2</v>
      </c>
      <c r="J11" s="7" t="n">
        <f aca="false">IF(G11=0,0,I11/G11)</f>
        <v>0.107067643837924</v>
      </c>
      <c r="K11" s="6" t="n">
        <f aca="false">IF(D11=0,0,I11/D11)</f>
        <v>31.775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39</v>
      </c>
      <c r="D12" s="9" t="n">
        <v>24</v>
      </c>
      <c r="E12" s="9" t="n">
        <v>17</v>
      </c>
      <c r="F12" s="3" t="n">
        <v>278.78</v>
      </c>
      <c r="G12" s="3" t="n">
        <v>230.39</v>
      </c>
      <c r="H12" s="3" t="n">
        <v>50.4</v>
      </c>
      <c r="I12" s="3" t="n">
        <v>179.99</v>
      </c>
      <c r="J12" s="4" t="n">
        <f aca="false">IF(G12=0,0,I12/G12)</f>
        <v>0.781240505230262</v>
      </c>
      <c r="K12" s="3" t="n">
        <f aca="false">IF(D12=0,0,I12/D12)</f>
        <v>7.49958333333333</v>
      </c>
    </row>
    <row r="13" customFormat="false" ht="15" hidden="false" customHeight="false" outlineLevel="0" collapsed="false">
      <c r="A13" s="5" t="s">
        <v>42</v>
      </c>
      <c r="B13" s="5" t="s">
        <v>43</v>
      </c>
      <c r="C13" s="5" t="s">
        <v>39</v>
      </c>
      <c r="D13" s="11" t="n">
        <v>28</v>
      </c>
      <c r="E13" s="11" t="n">
        <v>13</v>
      </c>
      <c r="F13" s="6" t="n">
        <v>632.72</v>
      </c>
      <c r="G13" s="6" t="n">
        <v>522.93</v>
      </c>
      <c r="H13" s="6" t="n">
        <v>238</v>
      </c>
      <c r="I13" s="6" t="n">
        <v>284.93</v>
      </c>
      <c r="J13" s="7" t="n">
        <f aca="false">IF(G13=0,0,I13/G13)</f>
        <v>0.544872162622148</v>
      </c>
      <c r="K13" s="6" t="n">
        <f aca="false">IF(D13=0,0,I13/D13)</f>
        <v>10.1760714285714</v>
      </c>
    </row>
    <row r="14" customFormat="false" ht="15" hidden="false" customHeight="false" outlineLevel="0" collapsed="false">
      <c r="A14" s="2" t="s">
        <v>45</v>
      </c>
      <c r="B14" s="2" t="s">
        <v>46</v>
      </c>
      <c r="C14" s="2" t="s">
        <v>39</v>
      </c>
      <c r="D14" s="9" t="n">
        <v>15</v>
      </c>
      <c r="E14" s="9" t="n">
        <v>12</v>
      </c>
      <c r="F14" s="3" t="n">
        <v>1092.22</v>
      </c>
      <c r="G14" s="3" t="n">
        <v>902.66</v>
      </c>
      <c r="H14" s="3" t="n">
        <v>480</v>
      </c>
      <c r="I14" s="3" t="n">
        <v>422.66</v>
      </c>
      <c r="J14" s="4" t="n">
        <f aca="false">IF(G14=0,0,I14/G14)</f>
        <v>0.468238317860546</v>
      </c>
      <c r="K14" s="3" t="n">
        <f aca="false">IF(D14=0,0,I14/D14)</f>
        <v>28.1773333333333</v>
      </c>
    </row>
    <row r="15" customFormat="false" ht="15" hidden="false" customHeight="false" outlineLevel="0" collapsed="false">
      <c r="A15" s="5" t="s">
        <v>47</v>
      </c>
      <c r="B15" s="5" t="s">
        <v>48</v>
      </c>
      <c r="C15" s="5" t="s">
        <v>39</v>
      </c>
      <c r="D15" s="11" t="n">
        <v>34</v>
      </c>
      <c r="E15" s="11" t="n">
        <v>17</v>
      </c>
      <c r="F15" s="6" t="n">
        <v>1132.5</v>
      </c>
      <c r="G15" s="6" t="n">
        <v>935.92</v>
      </c>
      <c r="H15" s="6" t="n">
        <v>476</v>
      </c>
      <c r="I15" s="6" t="n">
        <v>459.92</v>
      </c>
      <c r="J15" s="7" t="n">
        <f aca="false">IF(G15=0,0,I15/G15)</f>
        <v>0.491409522181383</v>
      </c>
      <c r="K15" s="6" t="n">
        <f aca="false">IF(D15=0,0,I15/D15)</f>
        <v>13.5270588235294</v>
      </c>
    </row>
    <row r="16" customFormat="false" ht="15" hidden="false" customHeight="false" outlineLevel="0" collapsed="false">
      <c r="A16" s="2" t="s">
        <v>49</v>
      </c>
      <c r="B16" s="2" t="s">
        <v>50</v>
      </c>
      <c r="C16" s="2" t="s">
        <v>52</v>
      </c>
      <c r="D16" s="9" t="n">
        <v>28</v>
      </c>
      <c r="E16" s="9" t="n">
        <v>17</v>
      </c>
      <c r="F16" s="3" t="n">
        <v>516.91</v>
      </c>
      <c r="G16" s="3" t="n">
        <v>427.2</v>
      </c>
      <c r="H16" s="3" t="n">
        <v>221.2</v>
      </c>
      <c r="I16" s="3" t="n">
        <v>206</v>
      </c>
      <c r="J16" s="4" t="n">
        <f aca="false">IF(G16=0,0,I16/G16)</f>
        <v>0.482209737827715</v>
      </c>
      <c r="K16" s="3" t="n">
        <f aca="false">IF(D16=0,0,I16/D16)</f>
        <v>7.35714285714286</v>
      </c>
    </row>
    <row r="17" customFormat="false" ht="15" hidden="false" customHeight="false" outlineLevel="0" collapsed="false">
      <c r="A17" s="5" t="s">
        <v>53</v>
      </c>
      <c r="B17" s="5" t="s">
        <v>54</v>
      </c>
      <c r="C17" s="5" t="s">
        <v>52</v>
      </c>
      <c r="D17" s="11" t="n">
        <v>19</v>
      </c>
      <c r="E17" s="11" t="n">
        <v>9</v>
      </c>
      <c r="F17" s="6" t="n">
        <v>971.58</v>
      </c>
      <c r="G17" s="6" t="n">
        <v>802.94</v>
      </c>
      <c r="H17" s="6" t="n">
        <v>494</v>
      </c>
      <c r="I17" s="6" t="n">
        <v>308.94</v>
      </c>
      <c r="J17" s="7" t="n">
        <f aca="false">IF(G17=0,0,I17/G17)</f>
        <v>0.384761003312825</v>
      </c>
      <c r="K17" s="6" t="n">
        <f aca="false">IF(D17=0,0,I17/D17)</f>
        <v>16.26</v>
      </c>
    </row>
    <row r="18" customFormat="false" ht="15" hidden="false" customHeight="false" outlineLevel="0" collapsed="false">
      <c r="A18" s="2" t="s">
        <v>55</v>
      </c>
      <c r="B18" s="2" t="s">
        <v>56</v>
      </c>
      <c r="C18" s="2" t="s">
        <v>52</v>
      </c>
      <c r="D18" s="9" t="n">
        <v>30</v>
      </c>
      <c r="E18" s="9" t="n">
        <v>11</v>
      </c>
      <c r="F18" s="3" t="n">
        <v>3186.82</v>
      </c>
      <c r="G18" s="3" t="n">
        <v>2633.72</v>
      </c>
      <c r="H18" s="3" t="n">
        <v>1650</v>
      </c>
      <c r="I18" s="3" t="n">
        <v>983.72</v>
      </c>
      <c r="J18" s="4" t="n">
        <f aca="false">IF(G18=0,0,I18/G18)</f>
        <v>0.373509712497912</v>
      </c>
      <c r="K18" s="3" t="n">
        <f aca="false">IF(D18=0,0,I18/D18)</f>
        <v>32.7906666666667</v>
      </c>
    </row>
    <row r="19" customFormat="false" ht="15" hidden="false" customHeight="false" outlineLevel="0" collapsed="false">
      <c r="A19" s="5" t="s">
        <v>57</v>
      </c>
      <c r="B19" s="5" t="s">
        <v>58</v>
      </c>
      <c r="C19" s="5" t="s">
        <v>60</v>
      </c>
      <c r="D19" s="11" t="n">
        <v>24</v>
      </c>
      <c r="E19" s="11" t="n">
        <v>18</v>
      </c>
      <c r="F19" s="6" t="n">
        <v>863.82</v>
      </c>
      <c r="G19" s="6" t="n">
        <v>713.92</v>
      </c>
      <c r="H19" s="6" t="n">
        <v>384</v>
      </c>
      <c r="I19" s="6" t="n">
        <v>329.92</v>
      </c>
      <c r="J19" s="7" t="n">
        <f aca="false">IF(G19=0,0,I19/G19)</f>
        <v>0.462124607799193</v>
      </c>
      <c r="K19" s="6" t="n">
        <f aca="false">IF(D19=0,0,I19/D19)</f>
        <v>13.7466666666667</v>
      </c>
    </row>
    <row r="20" customFormat="false" ht="15" hidden="false" customHeight="false" outlineLevel="0" collapsed="false">
      <c r="A20" s="2" t="s">
        <v>61</v>
      </c>
      <c r="B20" s="2" t="s">
        <v>62</v>
      </c>
      <c r="C20" s="2" t="s">
        <v>60</v>
      </c>
      <c r="D20" s="9" t="n">
        <v>42</v>
      </c>
      <c r="E20" s="9" t="n">
        <v>21</v>
      </c>
      <c r="F20" s="3" t="n">
        <v>730.5</v>
      </c>
      <c r="G20" s="3" t="n">
        <v>603.72</v>
      </c>
      <c r="H20" s="3" t="n">
        <v>273</v>
      </c>
      <c r="I20" s="3" t="n">
        <v>330.72</v>
      </c>
      <c r="J20" s="4" t="n">
        <f aca="false">IF(G20=0,0,I20/G20)</f>
        <v>0.547803617571059</v>
      </c>
      <c r="K20" s="3" t="n">
        <f aca="false">IF(D20=0,0,I20/D20)</f>
        <v>7.87428571428571</v>
      </c>
    </row>
    <row r="21" customFormat="false" ht="15" hidden="false" customHeight="false" outlineLevel="0" collapsed="false">
      <c r="A21" s="5" t="s">
        <v>63</v>
      </c>
      <c r="B21" s="5" t="s">
        <v>64</v>
      </c>
      <c r="C21" s="5" t="s">
        <v>66</v>
      </c>
      <c r="D21" s="11" t="n">
        <v>14</v>
      </c>
      <c r="E21" s="11" t="n">
        <v>12</v>
      </c>
      <c r="F21" s="6" t="n">
        <v>1753.14</v>
      </c>
      <c r="G21" s="6" t="n">
        <v>1448.89</v>
      </c>
      <c r="H21" s="6" t="n">
        <v>868</v>
      </c>
      <c r="I21" s="6" t="n">
        <v>580.89</v>
      </c>
      <c r="J21" s="7" t="n">
        <f aca="false">IF(G21=0,0,I21/G21)</f>
        <v>0.40092070481541</v>
      </c>
      <c r="K21" s="6" t="n">
        <f aca="false">IF(D21=0,0,I21/D21)</f>
        <v>41.4921428571429</v>
      </c>
    </row>
    <row r="22" customFormat="false" ht="15" hidden="false" customHeight="false" outlineLevel="0" collapsed="false">
      <c r="A22" s="2" t="s">
        <v>67</v>
      </c>
      <c r="B22" s="2" t="s">
        <v>68</v>
      </c>
      <c r="C22" s="2" t="s">
        <v>66</v>
      </c>
      <c r="D22" s="9" t="n">
        <v>17</v>
      </c>
      <c r="E22" s="9" t="n">
        <v>12</v>
      </c>
      <c r="F22" s="3" t="n">
        <v>984.36</v>
      </c>
      <c r="G22" s="3" t="n">
        <v>813.51</v>
      </c>
      <c r="H22" s="3" t="n">
        <v>476</v>
      </c>
      <c r="I22" s="3" t="n">
        <v>337.51</v>
      </c>
      <c r="J22" s="4" t="n">
        <f aca="false">IF(G22=0,0,I22/G22)</f>
        <v>0.414881193839043</v>
      </c>
      <c r="K22" s="3" t="n">
        <f aca="false">IF(D22=0,0,I22/D22)</f>
        <v>19.8535294117647</v>
      </c>
    </row>
    <row r="23" customFormat="false" ht="15" hidden="false" customHeight="false" outlineLevel="0" collapsed="false">
      <c r="A23" s="5" t="s">
        <v>69</v>
      </c>
      <c r="B23" s="5" t="s">
        <v>70</v>
      </c>
      <c r="C23" s="5" t="s">
        <v>72</v>
      </c>
      <c r="D23" s="11" t="n">
        <v>41</v>
      </c>
      <c r="E23" s="11" t="n">
        <v>28</v>
      </c>
      <c r="F23" s="6" t="n">
        <v>809.71</v>
      </c>
      <c r="G23" s="6" t="n">
        <v>669.18</v>
      </c>
      <c r="H23" s="6" t="n">
        <v>328</v>
      </c>
      <c r="I23" s="6" t="n">
        <v>341.18</v>
      </c>
      <c r="J23" s="7" t="n">
        <f aca="false">IF(G23=0,0,I23/G23)</f>
        <v>0.509847873516842</v>
      </c>
      <c r="K23" s="6" t="n">
        <f aca="false">IF(D23=0,0,I23/D23)</f>
        <v>8.32146341463415</v>
      </c>
    </row>
    <row r="24" customFormat="false" ht="15" hidden="false" customHeight="false" outlineLevel="0" collapsed="false">
      <c r="A24" s="2" t="s">
        <v>73</v>
      </c>
      <c r="B24" s="2" t="s">
        <v>74</v>
      </c>
      <c r="C24" s="2" t="s">
        <v>72</v>
      </c>
      <c r="D24" s="9" t="n">
        <v>35</v>
      </c>
      <c r="E24" s="9" t="n">
        <v>16</v>
      </c>
      <c r="F24" s="3" t="n">
        <v>2152.23</v>
      </c>
      <c r="G24" s="3" t="n">
        <v>1778.71</v>
      </c>
      <c r="H24" s="3" t="n">
        <v>1015</v>
      </c>
      <c r="I24" s="3" t="n">
        <v>763.71</v>
      </c>
      <c r="J24" s="4" t="n">
        <f aca="false">IF(G24=0,0,I24/G24)</f>
        <v>0.429361728443647</v>
      </c>
      <c r="K24" s="3" t="n">
        <f aca="false">IF(D24=0,0,I24/D24)</f>
        <v>21.8202857142857</v>
      </c>
    </row>
    <row r="25" customFormat="false" ht="15" hidden="false" customHeight="false" outlineLevel="0" collapsed="false">
      <c r="A25" s="5" t="s">
        <v>75</v>
      </c>
      <c r="B25" s="5" t="s">
        <v>76</v>
      </c>
      <c r="C25" s="5" t="s">
        <v>72</v>
      </c>
      <c r="D25" s="11" t="n">
        <v>19</v>
      </c>
      <c r="E25" s="11" t="n">
        <v>11</v>
      </c>
      <c r="F25" s="6" t="n">
        <v>7839.54</v>
      </c>
      <c r="G25" s="6" t="n">
        <v>6478.94</v>
      </c>
      <c r="H25" s="6" t="n">
        <v>6840</v>
      </c>
      <c r="I25" s="6" t="n">
        <v>-361.06</v>
      </c>
      <c r="J25" s="7" t="n">
        <f aca="false">IF(G25=0,0,I25/G25)</f>
        <v>-0.0557282518436658</v>
      </c>
      <c r="K25" s="6" t="n">
        <f aca="false">IF(D25=0,0,I25/D25)</f>
        <v>-19.0031578947368</v>
      </c>
    </row>
    <row r="26" customFormat="false" ht="15" hidden="false" customHeight="false" outlineLevel="0" collapsed="false">
      <c r="A26" s="2" t="s">
        <v>77</v>
      </c>
      <c r="B26" s="2" t="s">
        <v>78</v>
      </c>
      <c r="C26" s="2" t="s">
        <v>80</v>
      </c>
      <c r="D26" s="9" t="n">
        <v>34</v>
      </c>
      <c r="E26" s="9" t="n">
        <v>16</v>
      </c>
      <c r="F26" s="3" t="n">
        <v>1919.8</v>
      </c>
      <c r="G26" s="3" t="n">
        <v>1586.58</v>
      </c>
      <c r="H26" s="3" t="n">
        <v>816</v>
      </c>
      <c r="I26" s="3" t="n">
        <v>770.58</v>
      </c>
      <c r="J26" s="4" t="n">
        <f aca="false">IF(G26=0,0,I26/G26)</f>
        <v>0.485686192943312</v>
      </c>
      <c r="K26" s="3" t="n">
        <f aca="false">IF(D26=0,0,I26/D26)</f>
        <v>22.6641176470588</v>
      </c>
    </row>
    <row r="27" customFormat="false" ht="15" hidden="false" customHeight="false" outlineLevel="0" collapsed="false">
      <c r="A27" s="5" t="s">
        <v>81</v>
      </c>
      <c r="B27" s="5" t="s">
        <v>82</v>
      </c>
      <c r="C27" s="5" t="s">
        <v>80</v>
      </c>
      <c r="D27" s="11" t="n">
        <v>26</v>
      </c>
      <c r="E27" s="11" t="n">
        <v>19</v>
      </c>
      <c r="F27" s="6" t="n">
        <v>459.24</v>
      </c>
      <c r="G27" s="6" t="n">
        <v>379.58</v>
      </c>
      <c r="H27" s="6" t="n">
        <v>182</v>
      </c>
      <c r="I27" s="6" t="n">
        <v>197.58</v>
      </c>
      <c r="J27" s="7" t="n">
        <f aca="false">IF(G27=0,0,I27/G27)</f>
        <v>0.520522682965383</v>
      </c>
      <c r="K27" s="6" t="n">
        <f aca="false">IF(D27=0,0,I27/D27)</f>
        <v>7.59923076923077</v>
      </c>
    </row>
    <row r="28" customFormat="false" ht="15" hidden="false" customHeight="false" outlineLevel="0" collapsed="false">
      <c r="A28" s="2" t="s">
        <v>83</v>
      </c>
      <c r="B28" s="2" t="s">
        <v>84</v>
      </c>
      <c r="C28" s="2" t="s">
        <v>86</v>
      </c>
      <c r="D28" s="9" t="n">
        <v>54</v>
      </c>
      <c r="E28" s="9" t="n">
        <v>22</v>
      </c>
      <c r="F28" s="3" t="n">
        <v>188.67</v>
      </c>
      <c r="G28" s="3" t="n">
        <v>171.54</v>
      </c>
      <c r="H28" s="3" t="n">
        <v>135</v>
      </c>
      <c r="I28" s="3" t="n">
        <v>36.54</v>
      </c>
      <c r="J28" s="4" t="n">
        <f aca="false">IF(G28=0,0,I28/G28)</f>
        <v>0.213011542497377</v>
      </c>
      <c r="K28" s="3" t="n">
        <f aca="false">IF(D28=0,0,I28/D28)</f>
        <v>0.676666666666667</v>
      </c>
    </row>
    <row r="29" customFormat="false" ht="15" hidden="false" customHeight="false" outlineLevel="0" collapsed="false">
      <c r="A29" s="5" t="s">
        <v>87</v>
      </c>
      <c r="B29" s="5" t="s">
        <v>88</v>
      </c>
      <c r="C29" s="5" t="s">
        <v>86</v>
      </c>
      <c r="D29" s="11" t="n">
        <v>101</v>
      </c>
      <c r="E29" s="11" t="n">
        <v>26</v>
      </c>
      <c r="F29" s="6" t="n">
        <v>221.86</v>
      </c>
      <c r="G29" s="6" t="n">
        <v>201.68</v>
      </c>
      <c r="H29" s="6" t="n">
        <v>151.5</v>
      </c>
      <c r="I29" s="6" t="n">
        <v>50.18</v>
      </c>
      <c r="J29" s="7" t="n">
        <f aca="false">IF(G29=0,0,I29/G29)</f>
        <v>0.24880999603332</v>
      </c>
      <c r="K29" s="6" t="n">
        <f aca="false">IF(D29=0,0,I29/D29)</f>
        <v>0.496831683168317</v>
      </c>
    </row>
    <row r="30" customFormat="false" ht="15" hidden="false" customHeight="false" outlineLevel="0" collapsed="false">
      <c r="A30" s="2" t="s">
        <v>89</v>
      </c>
      <c r="B30" s="2" t="s">
        <v>90</v>
      </c>
      <c r="C30" s="2" t="s">
        <v>86</v>
      </c>
      <c r="D30" s="9" t="n">
        <v>89</v>
      </c>
      <c r="E30" s="9" t="n">
        <v>24</v>
      </c>
      <c r="F30" s="3" t="n">
        <v>396.86</v>
      </c>
      <c r="G30" s="3" t="n">
        <v>360.76</v>
      </c>
      <c r="H30" s="3" t="n">
        <v>204.7</v>
      </c>
      <c r="I30" s="3" t="n">
        <v>156.06</v>
      </c>
      <c r="J30" s="4" t="n">
        <f aca="false">IF(G30=0,0,I30/G30)</f>
        <v>0.432586761281739</v>
      </c>
      <c r="K30" s="3" t="n">
        <f aca="false">IF(D30=0,0,I30/D30)</f>
        <v>1.75348314606742</v>
      </c>
    </row>
    <row r="31" customFormat="false" ht="15" hidden="false" customHeight="false" outlineLevel="0" collapsed="false">
      <c r="A31" s="5" t="s">
        <v>92</v>
      </c>
      <c r="B31" s="5" t="s">
        <v>93</v>
      </c>
      <c r="C31" s="5" t="s">
        <v>95</v>
      </c>
      <c r="D31" s="11" t="n">
        <v>115</v>
      </c>
      <c r="E31" s="11" t="n">
        <v>22</v>
      </c>
      <c r="F31" s="6" t="n">
        <v>449.31</v>
      </c>
      <c r="G31" s="6" t="n">
        <v>408.48</v>
      </c>
      <c r="H31" s="6" t="n">
        <v>241.5</v>
      </c>
      <c r="I31" s="6" t="n">
        <v>166.98</v>
      </c>
      <c r="J31" s="7" t="n">
        <f aca="false">IF(G31=0,0,I31/G31)</f>
        <v>0.408783783783784</v>
      </c>
      <c r="K31" s="6" t="n">
        <f aca="false">IF(D31=0,0,I31/D31)</f>
        <v>1.452</v>
      </c>
    </row>
    <row r="32" customFormat="false" ht="15" hidden="false" customHeight="false" outlineLevel="0" collapsed="false">
      <c r="A32" s="2" t="s">
        <v>96</v>
      </c>
      <c r="B32" s="2" t="s">
        <v>97</v>
      </c>
      <c r="C32" s="2" t="s">
        <v>95</v>
      </c>
      <c r="D32" s="9" t="n">
        <v>100</v>
      </c>
      <c r="E32" s="9" t="n">
        <v>33</v>
      </c>
      <c r="F32" s="3" t="n">
        <v>714.72</v>
      </c>
      <c r="G32" s="3" t="n">
        <v>649.77</v>
      </c>
      <c r="H32" s="3" t="n">
        <v>340</v>
      </c>
      <c r="I32" s="3" t="n">
        <v>309.77</v>
      </c>
      <c r="J32" s="4" t="n">
        <f aca="false">IF(G32=0,0,I32/G32)</f>
        <v>0.476737922649553</v>
      </c>
      <c r="K32" s="3" t="n">
        <f aca="false">IF(D32=0,0,I32/D32)</f>
        <v>3.0977</v>
      </c>
    </row>
    <row r="33" customFormat="false" ht="15" hidden="false" customHeight="false" outlineLevel="0" collapsed="false">
      <c r="A33" s="5" t="s">
        <v>98</v>
      </c>
      <c r="B33" s="5" t="s">
        <v>99</v>
      </c>
      <c r="C33" s="5" t="s">
        <v>95</v>
      </c>
      <c r="D33" s="11" t="n">
        <v>68</v>
      </c>
      <c r="E33" s="11" t="n">
        <v>20</v>
      </c>
      <c r="F33" s="6" t="n">
        <v>178.77</v>
      </c>
      <c r="G33" s="6" t="n">
        <v>162.54</v>
      </c>
      <c r="H33" s="6" t="n">
        <v>81.6</v>
      </c>
      <c r="I33" s="6" t="n">
        <v>80.94</v>
      </c>
      <c r="J33" s="7" t="n">
        <f aca="false">IF(G33=0,0,I33/G33)</f>
        <v>0.49796973052787</v>
      </c>
      <c r="K33" s="6" t="n">
        <f aca="false">IF(D33=0,0,I33/D33)</f>
        <v>1.19029411764706</v>
      </c>
    </row>
  </sheetData>
  <autoFilter ref="A1:K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1" t="s">
        <v>529</v>
      </c>
      <c r="B1" s="1" t="s">
        <v>523</v>
      </c>
      <c r="C1" s="1" t="s">
        <v>530</v>
      </c>
      <c r="D1" s="1" t="s">
        <v>524</v>
      </c>
      <c r="E1" s="1" t="s">
        <v>519</v>
      </c>
      <c r="F1" s="1" t="s">
        <v>531</v>
      </c>
      <c r="G1" s="1" t="s">
        <v>526</v>
      </c>
      <c r="H1" s="1" t="s">
        <v>527</v>
      </c>
      <c r="I1" s="1" t="s">
        <v>9</v>
      </c>
      <c r="J1" s="1" t="s">
        <v>532</v>
      </c>
    </row>
    <row r="2" customFormat="false" ht="15" hidden="false" customHeight="false" outlineLevel="0" collapsed="false">
      <c r="A2" s="2" t="s">
        <v>533</v>
      </c>
      <c r="B2" s="9" t="n">
        <v>18</v>
      </c>
      <c r="C2" s="9" t="n">
        <v>82</v>
      </c>
      <c r="D2" s="3" t="n">
        <v>4000.5</v>
      </c>
      <c r="E2" s="3" t="n">
        <v>3323.65</v>
      </c>
      <c r="F2" s="3" t="n">
        <v>9.16</v>
      </c>
      <c r="G2" s="3" t="n">
        <v>2187</v>
      </c>
      <c r="H2" s="3" t="n">
        <v>1099.72</v>
      </c>
      <c r="I2" s="4" t="n">
        <f aca="false">IF(E2=0,0,H2/E2)</f>
        <v>0.330877198260948</v>
      </c>
      <c r="J2" s="3" t="n">
        <f aca="false">IF(B2=0,0,D2/B2)</f>
        <v>222.25</v>
      </c>
    </row>
    <row r="3" customFormat="false" ht="15" hidden="false" customHeight="false" outlineLevel="0" collapsed="false">
      <c r="A3" s="5" t="s">
        <v>534</v>
      </c>
      <c r="B3" s="11" t="n">
        <v>11</v>
      </c>
      <c r="C3" s="11" t="n">
        <v>32</v>
      </c>
      <c r="D3" s="6" t="n">
        <v>2503.96</v>
      </c>
      <c r="E3" s="6" t="n">
        <v>2072.71</v>
      </c>
      <c r="F3" s="6" t="n">
        <v>0</v>
      </c>
      <c r="G3" s="6" t="n">
        <v>1400.8</v>
      </c>
      <c r="H3" s="6" t="n">
        <v>622.63</v>
      </c>
      <c r="I3" s="7" t="n">
        <f aca="false">IF(E3=0,0,H3/E3)</f>
        <v>0.300394169951416</v>
      </c>
      <c r="J3" s="6" t="n">
        <f aca="false">IF(B3=0,0,D3/B3)</f>
        <v>227.632727272727</v>
      </c>
    </row>
    <row r="4" customFormat="false" ht="15" hidden="false" customHeight="false" outlineLevel="0" collapsed="false">
      <c r="A4" s="2" t="s">
        <v>535</v>
      </c>
      <c r="B4" s="9" t="n">
        <v>20</v>
      </c>
      <c r="C4" s="9" t="n">
        <v>88</v>
      </c>
      <c r="D4" s="3" t="n">
        <v>3425.89</v>
      </c>
      <c r="E4" s="3" t="n">
        <v>2855.41</v>
      </c>
      <c r="F4" s="3" t="n">
        <v>264.77</v>
      </c>
      <c r="G4" s="3" t="n">
        <v>1855.1</v>
      </c>
      <c r="H4" s="3" t="n">
        <v>914.14</v>
      </c>
      <c r="I4" s="4" t="n">
        <f aca="false">IF(E4=0,0,H4/E4)</f>
        <v>0.320143166830683</v>
      </c>
      <c r="J4" s="3" t="n">
        <f aca="false">IF(B4=0,0,D4/B4)</f>
        <v>171.2945</v>
      </c>
    </row>
    <row r="5" customFormat="false" ht="15" hidden="false" customHeight="false" outlineLevel="0" collapsed="false">
      <c r="A5" s="5" t="s">
        <v>536</v>
      </c>
      <c r="B5" s="11" t="n">
        <v>24</v>
      </c>
      <c r="C5" s="11" t="n">
        <v>103</v>
      </c>
      <c r="D5" s="6" t="n">
        <v>4490.27</v>
      </c>
      <c r="E5" s="6" t="n">
        <v>3723.83</v>
      </c>
      <c r="F5" s="6" t="n">
        <v>38.7</v>
      </c>
      <c r="G5" s="6" t="n">
        <v>2666.9</v>
      </c>
      <c r="H5" s="6" t="n">
        <v>958.41</v>
      </c>
      <c r="I5" s="7" t="n">
        <f aca="false">IF(E5=0,0,H5/E5)</f>
        <v>0.257372114194257</v>
      </c>
      <c r="J5" s="6" t="n">
        <f aca="false">IF(B5=0,0,D5/B5)</f>
        <v>187.094583333333</v>
      </c>
    </row>
    <row r="6" customFormat="false" ht="15" hidden="false" customHeight="false" outlineLevel="0" collapsed="false">
      <c r="A6" s="2" t="s">
        <v>537</v>
      </c>
      <c r="B6" s="9" t="n">
        <v>42</v>
      </c>
      <c r="C6" s="9" t="n">
        <v>158</v>
      </c>
      <c r="D6" s="3" t="n">
        <v>6318.49</v>
      </c>
      <c r="E6" s="3" t="n">
        <v>5245.67</v>
      </c>
      <c r="F6" s="3" t="n">
        <v>1575.24</v>
      </c>
      <c r="G6" s="3" t="n">
        <v>3620.1</v>
      </c>
      <c r="H6" s="3" t="n">
        <v>1498.3</v>
      </c>
      <c r="I6" s="4" t="n">
        <f aca="false">IF(E6=0,0,H6/E6)</f>
        <v>0.285626049675256</v>
      </c>
      <c r="J6" s="3" t="n">
        <f aca="false">IF(B6=0,0,D6/B6)</f>
        <v>150.440238095238</v>
      </c>
    </row>
    <row r="7" customFormat="false" ht="15" hidden="false" customHeight="false" outlineLevel="0" collapsed="false">
      <c r="A7" s="5" t="s">
        <v>538</v>
      </c>
      <c r="B7" s="11" t="n">
        <v>46</v>
      </c>
      <c r="C7" s="11" t="n">
        <v>200</v>
      </c>
      <c r="D7" s="6" t="n">
        <v>8564.34</v>
      </c>
      <c r="E7" s="6" t="n">
        <v>7102.86</v>
      </c>
      <c r="F7" s="6" t="n">
        <v>959.06</v>
      </c>
      <c r="G7" s="6" t="n">
        <v>5064.7</v>
      </c>
      <c r="H7" s="6" t="n">
        <v>1874.08</v>
      </c>
      <c r="I7" s="7" t="n">
        <f aca="false">IF(E7=0,0,H7/E7)</f>
        <v>0.263848646883087</v>
      </c>
      <c r="J7" s="6" t="n">
        <f aca="false">IF(B7=0,0,D7/B7)</f>
        <v>186.181304347826</v>
      </c>
    </row>
    <row r="8" customFormat="false" ht="15" hidden="false" customHeight="false" outlineLevel="0" collapsed="false">
      <c r="A8" s="2" t="s">
        <v>539</v>
      </c>
      <c r="B8" s="9" t="n">
        <v>26</v>
      </c>
      <c r="C8" s="9" t="n">
        <v>97</v>
      </c>
      <c r="D8" s="3" t="n">
        <v>7458.64</v>
      </c>
      <c r="E8" s="3" t="n">
        <v>6175.29</v>
      </c>
      <c r="F8" s="3" t="n">
        <v>353.84</v>
      </c>
      <c r="G8" s="3" t="n">
        <v>4702.6</v>
      </c>
      <c r="H8" s="3" t="n">
        <v>1370.08</v>
      </c>
      <c r="I8" s="4" t="n">
        <f aca="false">IF(E8=0,0,H8/E8)</f>
        <v>0.221864884078319</v>
      </c>
      <c r="J8" s="3" t="n">
        <f aca="false">IF(B8=0,0,D8/B8)</f>
        <v>286.870769230769</v>
      </c>
    </row>
    <row r="9" customFormat="false" ht="15" hidden="false" customHeight="false" outlineLevel="0" collapsed="false">
      <c r="A9" s="5" t="s">
        <v>540</v>
      </c>
      <c r="B9" s="11" t="n">
        <v>21</v>
      </c>
      <c r="C9" s="11" t="n">
        <v>67</v>
      </c>
      <c r="D9" s="6" t="n">
        <v>7050.34</v>
      </c>
      <c r="E9" s="6" t="n">
        <v>5840.35</v>
      </c>
      <c r="F9" s="6" t="n">
        <v>0</v>
      </c>
      <c r="G9" s="6" t="n">
        <v>4919.5</v>
      </c>
      <c r="H9" s="6" t="n">
        <v>834.68</v>
      </c>
      <c r="I9" s="7" t="n">
        <f aca="false">IF(E9=0,0,H9/E9)</f>
        <v>0.142916092357479</v>
      </c>
      <c r="J9" s="6" t="n">
        <f aca="false">IF(B9=0,0,D9/B9)</f>
        <v>335.730476190476</v>
      </c>
    </row>
    <row r="10" customFormat="false" ht="15" hidden="false" customHeight="false" outlineLevel="0" collapsed="false">
      <c r="A10" s="2" t="s">
        <v>541</v>
      </c>
      <c r="B10" s="9" t="n">
        <v>24</v>
      </c>
      <c r="C10" s="9" t="n">
        <v>78</v>
      </c>
      <c r="D10" s="3" t="n">
        <v>4978.01</v>
      </c>
      <c r="E10" s="3" t="n">
        <v>4126.04</v>
      </c>
      <c r="F10" s="3" t="n">
        <v>1059.15</v>
      </c>
      <c r="G10" s="3" t="n">
        <v>3018.6</v>
      </c>
      <c r="H10" s="3" t="n">
        <v>1037.75</v>
      </c>
      <c r="I10" s="4" t="n">
        <f aca="false">IF(E10=0,0,H10/E10)</f>
        <v>0.251512345978226</v>
      </c>
      <c r="J10" s="3" t="n">
        <f aca="false">IF(B10=0,0,D10/B10)</f>
        <v>207.417083333333</v>
      </c>
    </row>
    <row r="11" customFormat="false" ht="15" hidden="false" customHeight="false" outlineLevel="0" collapsed="false">
      <c r="A11" s="5" t="s">
        <v>542</v>
      </c>
      <c r="B11" s="11" t="n">
        <v>23</v>
      </c>
      <c r="C11" s="11" t="n">
        <v>80</v>
      </c>
      <c r="D11" s="6" t="n">
        <v>3880.28</v>
      </c>
      <c r="E11" s="6" t="n">
        <v>3216.84</v>
      </c>
      <c r="F11" s="6" t="n">
        <v>59.42</v>
      </c>
      <c r="G11" s="6" t="n">
        <v>2157.9</v>
      </c>
      <c r="H11" s="6" t="n">
        <v>964.55</v>
      </c>
      <c r="I11" s="7" t="n">
        <f aca="false">IF(E11=0,0,H11/E11)</f>
        <v>0.299843946232949</v>
      </c>
      <c r="J11" s="6" t="n">
        <f aca="false">IF(B11=0,0,D11/B11)</f>
        <v>168.707826086957</v>
      </c>
    </row>
    <row r="12" customFormat="false" ht="15" hidden="false" customHeight="false" outlineLevel="0" collapsed="false">
      <c r="A12" s="2" t="s">
        <v>543</v>
      </c>
      <c r="B12" s="9" t="n">
        <v>27</v>
      </c>
      <c r="C12" s="9" t="n">
        <v>103</v>
      </c>
      <c r="D12" s="3" t="n">
        <v>8358.92</v>
      </c>
      <c r="E12" s="3" t="n">
        <v>6920.95</v>
      </c>
      <c r="F12" s="3" t="n">
        <v>885.22</v>
      </c>
      <c r="G12" s="3" t="n">
        <v>5573.9</v>
      </c>
      <c r="H12" s="3" t="n">
        <v>1248.57</v>
      </c>
      <c r="I12" s="4" t="n">
        <f aca="false">IF(E12=0,0,H12/E12)</f>
        <v>0.180404424248116</v>
      </c>
      <c r="J12" s="3" t="n">
        <f aca="false">IF(B12=0,0,D12/B12)</f>
        <v>309.58962962963</v>
      </c>
    </row>
    <row r="13" customFormat="false" ht="15" hidden="false" customHeight="false" outlineLevel="0" collapsed="false">
      <c r="A13" s="5" t="s">
        <v>544</v>
      </c>
      <c r="B13" s="11" t="n">
        <v>28</v>
      </c>
      <c r="C13" s="11" t="n">
        <v>105</v>
      </c>
      <c r="D13" s="6" t="n">
        <v>7250.56</v>
      </c>
      <c r="E13" s="6" t="n">
        <v>6003.76</v>
      </c>
      <c r="F13" s="6" t="n">
        <v>306.72</v>
      </c>
      <c r="G13" s="6" t="n">
        <v>5099.7</v>
      </c>
      <c r="H13" s="6" t="n">
        <v>789.18</v>
      </c>
      <c r="I13" s="7" t="n">
        <f aca="false">IF(E13=0,0,H13/E13)</f>
        <v>0.131447626154277</v>
      </c>
      <c r="J13" s="6" t="n">
        <f aca="false">IF(B13=0,0,D13/B13)</f>
        <v>258.948571428571</v>
      </c>
    </row>
  </sheetData>
  <autoFilter ref="A1:J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545</v>
      </c>
      <c r="B1" s="1" t="s">
        <v>546</v>
      </c>
      <c r="C1" s="1" t="s">
        <v>547</v>
      </c>
    </row>
    <row r="2" customFormat="false" ht="15" hidden="false" customHeight="false" outlineLevel="0" collapsed="false">
      <c r="A2" s="2" t="s">
        <v>548</v>
      </c>
      <c r="B2" s="2" t="n">
        <v>310</v>
      </c>
      <c r="C2" s="14"/>
    </row>
    <row r="3" customFormat="false" ht="15" hidden="false" customHeight="false" outlineLevel="0" collapsed="false">
      <c r="A3" s="5" t="s">
        <v>549</v>
      </c>
      <c r="B3" s="5" t="n">
        <v>535</v>
      </c>
      <c r="C3" s="15"/>
    </row>
    <row r="4" customFormat="false" ht="15" hidden="false" customHeight="false" outlineLevel="0" collapsed="false">
      <c r="A4" s="2" t="s">
        <v>522</v>
      </c>
      <c r="B4" s="2" t="n">
        <v>1193</v>
      </c>
      <c r="C4" s="14"/>
    </row>
    <row r="5" customFormat="false" ht="15" hidden="false" customHeight="false" outlineLevel="0" collapsed="false">
      <c r="A5" s="5" t="s">
        <v>550</v>
      </c>
      <c r="B5" s="5" t="n">
        <v>66914.3</v>
      </c>
      <c r="C5" s="15" t="s">
        <v>551</v>
      </c>
    </row>
    <row r="6" customFormat="false" ht="15" hidden="false" customHeight="false" outlineLevel="0" collapsed="false">
      <c r="A6" s="2" t="s">
        <v>552</v>
      </c>
      <c r="B6" s="2" t="n">
        <v>1365.9</v>
      </c>
      <c r="C6" s="14"/>
    </row>
    <row r="7" customFormat="false" ht="15" hidden="false" customHeight="false" outlineLevel="0" collapsed="false">
      <c r="A7" s="5" t="s">
        <v>553</v>
      </c>
      <c r="B7" s="5" t="n">
        <v>68280.2</v>
      </c>
      <c r="C7" s="15" t="s">
        <v>554</v>
      </c>
    </row>
    <row r="8" customFormat="false" ht="15" hidden="false" customHeight="false" outlineLevel="0" collapsed="false">
      <c r="A8" s="2" t="s">
        <v>555</v>
      </c>
      <c r="B8" s="2" t="n">
        <v>56607.36</v>
      </c>
      <c r="C8" s="14"/>
    </row>
    <row r="9" customFormat="false" ht="15" hidden="false" customHeight="false" outlineLevel="0" collapsed="false">
      <c r="A9" s="5" t="s">
        <v>556</v>
      </c>
      <c r="B9" s="5" t="n">
        <v>11672.84</v>
      </c>
      <c r="C9" s="15"/>
    </row>
    <row r="10" customFormat="false" ht="15" hidden="false" customHeight="false" outlineLevel="0" collapsed="false">
      <c r="A10" s="2" t="s">
        <v>557</v>
      </c>
      <c r="B10" s="2" t="n">
        <v>68280.2</v>
      </c>
      <c r="C10" s="14" t="s">
        <v>558</v>
      </c>
    </row>
    <row r="11" customFormat="false" ht="15" hidden="false" customHeight="false" outlineLevel="0" collapsed="false">
      <c r="A11" s="5" t="s">
        <v>559</v>
      </c>
      <c r="B11" s="5" t="n">
        <v>42266.8</v>
      </c>
      <c r="C11" s="15"/>
    </row>
    <row r="12" customFormat="false" ht="15" hidden="false" customHeight="false" outlineLevel="0" collapsed="false">
      <c r="A12" s="2" t="s">
        <v>560</v>
      </c>
      <c r="B12" s="2" t="n">
        <v>13212.09</v>
      </c>
      <c r="C12" s="14" t="s">
        <v>561</v>
      </c>
    </row>
    <row r="13" customFormat="false" ht="15" hidden="false" customHeight="false" outlineLevel="0" collapsed="false">
      <c r="A13" s="5" t="s">
        <v>562</v>
      </c>
      <c r="B13" s="5" t="n">
        <v>0.2381</v>
      </c>
      <c r="C13" s="15" t="s">
        <v>563</v>
      </c>
    </row>
    <row r="14" customFormat="false" ht="15" hidden="false" customHeight="false" outlineLevel="0" collapsed="false">
      <c r="A14" s="2" t="s">
        <v>564</v>
      </c>
      <c r="B14" s="2" t="n">
        <v>5511.28</v>
      </c>
      <c r="C14" s="14"/>
    </row>
    <row r="15" customFormat="false" ht="15" hidden="false" customHeight="false" outlineLevel="0" collapsed="false">
      <c r="A15" s="5" t="s">
        <v>565</v>
      </c>
      <c r="B15" s="5" t="n">
        <v>220.26</v>
      </c>
      <c r="C15" s="15"/>
    </row>
  </sheetData>
  <autoFilter ref="A1:C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2026-07-14T17:00:38Z</dcterms:created>
  <dc:creator>openpyxl</dc:creator>
  <dc:description/>
  <dc:language>en-US</dc:language>
  <cp:lastModifiedBy/>
  <dcterms:modified xsi:type="dcterms:W3CDTF">2026-07-14T17:00:39Z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